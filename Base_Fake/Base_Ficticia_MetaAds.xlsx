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ientes\Antigravity\Jovi_Hmtl\Base_Fake\"/>
    </mc:Choice>
  </mc:AlternateContent>
  <xr:revisionPtr revIDLastSave="0" documentId="13_ncr:1_{E5D07DC8-2FA9-4B00-846F-B0871FD3F252}" xr6:coauthVersionLast="47" xr6:coauthVersionMax="47" xr10:uidLastSave="{00000000-0000-0000-0000-000000000000}"/>
  <bookViews>
    <workbookView xWindow="-120" yWindow="-120" windowWidth="29040" windowHeight="15720" xr2:uid="{06560F94-0D61-4015-B5D9-4047717822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2" i="1"/>
</calcChain>
</file>

<file path=xl/sharedStrings.xml><?xml version="1.0" encoding="utf-8"?>
<sst xmlns="http://schemas.openxmlformats.org/spreadsheetml/2006/main" count="2855" uniqueCount="72">
  <si>
    <t>Date</t>
  </si>
  <si>
    <t>Campaign name</t>
  </si>
  <si>
    <t>Ad set name</t>
  </si>
  <si>
    <t>Ad name</t>
  </si>
  <si>
    <t>Account name</t>
  </si>
  <si>
    <t>Account ID</t>
  </si>
  <si>
    <t>Campaign ID</t>
  </si>
  <si>
    <t>Ad set ID</t>
  </si>
  <si>
    <t>Ad ID</t>
  </si>
  <si>
    <t>Publisher platform</t>
  </si>
  <si>
    <t>Impressions</t>
  </si>
  <si>
    <t>Cost</t>
  </si>
  <si>
    <t>Three-second video views</t>
  </si>
  <si>
    <t>Video watches at 100%</t>
  </si>
  <si>
    <t>Reach</t>
  </si>
  <si>
    <t>15-second video views (Deprecated)</t>
  </si>
  <si>
    <t>2-second continuous video plays</t>
  </si>
  <si>
    <t>Video play actions</t>
  </si>
  <si>
    <t>ThruPlay actions</t>
  </si>
  <si>
    <t>WE-AWARENESS-Y31-AUTOMATICO-RECONHECIMENTO-SHARK_TANK_BRASIL</t>
  </si>
  <si>
    <t>SHARK_TANK_Y31</t>
  </si>
  <si>
    <t>OLKABONE_JOVI-181s</t>
  </si>
  <si>
    <t>JOVI</t>
  </si>
  <si>
    <t>facebook</t>
  </si>
  <si>
    <t>instagram</t>
  </si>
  <si>
    <t>WE-CONVERSAO-INSTITUCIONAL-AUTOMATICO-TRAFEGO-JOVI</t>
  </si>
  <si>
    <t>JOVI_INSTITUCIONAL</t>
  </si>
  <si>
    <t>INSTITUCIONAL</t>
  </si>
  <si>
    <t>JOVI_Y19S</t>
  </si>
  <si>
    <t>Y19S</t>
  </si>
  <si>
    <t>JOVI_Y29</t>
  </si>
  <si>
    <t>Y29</t>
  </si>
  <si>
    <t>JOVI_Y31</t>
  </si>
  <si>
    <t>Y31</t>
  </si>
  <si>
    <t>SHANK_TANK_JOVI-59s</t>
  </si>
  <si>
    <t>INSTITUCIONAL_NOVO</t>
  </si>
  <si>
    <t>messenger</t>
  </si>
  <si>
    <t>Y19S_NOVO</t>
  </si>
  <si>
    <t>Y29_NOVO</t>
  </si>
  <si>
    <t>Y31_NOVO</t>
  </si>
  <si>
    <t>JOVI_V70</t>
  </si>
  <si>
    <t>V70</t>
  </si>
  <si>
    <t>V70_KIT</t>
  </si>
  <si>
    <t>WE-CONVERSAO-V70-AUTOMATICO-TRAFEGO-IMPULSIONAMENTO</t>
  </si>
  <si>
    <t>V70_IMPULSIONAMENTO</t>
  </si>
  <si>
    <t>V70-30s-BS</t>
  </si>
  <si>
    <t>threads</t>
  </si>
  <si>
    <t>WE-AWARENESS-Y31-AUTOMATICO-RECONHECIMENTO-GUE_BRAND_LIFT</t>
  </si>
  <si>
    <t>BRAND_LIFT_GUE_Y31</t>
  </si>
  <si>
    <t>GUE-45s-OS</t>
  </si>
  <si>
    <t>SHARK_TANK_Y31_NOVO</t>
  </si>
  <si>
    <t>JOHNNY_BAROLI_VIDEO_1-53s-OS</t>
  </si>
  <si>
    <t>whatsapp</t>
  </si>
  <si>
    <t>JOHNNY_BAROLI_VIDEO_2-48s-OS</t>
  </si>
  <si>
    <t>JOHNNY_BAROLI_VIDEO_3-60s-OS</t>
  </si>
  <si>
    <t>unknown</t>
  </si>
  <si>
    <t>WE-CONVERSAO-V70-AUTOMATICO-TRAFEGO-DARK_POST</t>
  </si>
  <si>
    <t>V70_COPA</t>
  </si>
  <si>
    <t>V70_COPA-1s-BS</t>
  </si>
  <si>
    <t>GUE-15s-OS</t>
  </si>
  <si>
    <t>GUE-6s-OS</t>
  </si>
  <si>
    <t>V70_KIT-ABR_26</t>
  </si>
  <si>
    <t>V70_JOGO-BRASIL-10</t>
  </si>
  <si>
    <t>V70_JOGO-BRASIL-15</t>
  </si>
  <si>
    <t>V70-ABR_26</t>
  </si>
  <si>
    <t>Y19S-ABR_26</t>
  </si>
  <si>
    <t>Y29-ABR_26</t>
  </si>
  <si>
    <t>Y31_KIT-ABR_26</t>
  </si>
  <si>
    <t>V70-ABR_26-NOVO</t>
  </si>
  <si>
    <t>Y19S-ABR_26-NOVO</t>
  </si>
  <si>
    <t>Y29-ABR_26-NOVO</t>
  </si>
  <si>
    <t>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</si>
</sst>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right"/>
    </xf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0C3D-E257-4109-940D-4B44753EF3E1}">
  <dimension ref="A1:Z739"/>
  <sheetViews>
    <sheetView tabSelected="1" workbookViewId="0">
      <selection activeCell="L2" sqref="L2"/>
    </sheetView>
  </sheetViews>
  <sheetFormatPr defaultRowHeight="15" x14ac:dyDescent="0.25"/>
  <cols>
    <col min="1" max="1" width="10.140625" bestFit="1" customWidth="1"/>
    <col min="2" max="2" width="73.85546875" bestFit="1" customWidth="1"/>
    <col min="3" max="3" width="24.42578125" bestFit="1" customWidth="1"/>
    <col min="4" max="4" width="32.42578125" bestFit="1" customWidth="1"/>
    <col min="5" max="5" width="14.140625" bestFit="1" customWidth="1"/>
    <col min="6" max="6" width="10.7109375" bestFit="1" customWidth="1"/>
    <col min="7" max="7" width="12.7109375" bestFit="1" customWidth="1"/>
    <col min="8" max="8" width="9" bestFit="1" customWidth="1"/>
    <col min="9" max="9" width="12.42578125" bestFit="1" customWidth="1"/>
    <col min="10" max="10" width="18" bestFit="1" customWidth="1"/>
    <col min="11" max="11" width="11.7109375" bestFit="1" customWidth="1"/>
    <col min="12" max="12" width="10.42578125" bestFit="1" customWidth="1"/>
    <col min="13" max="13" width="4.85546875" bestFit="1" customWidth="1"/>
    <col min="14" max="14" width="25" bestFit="1" customWidth="1"/>
    <col min="15" max="15" width="22" bestFit="1" customWidth="1"/>
    <col min="16" max="16" width="7" bestFit="1" customWidth="1"/>
    <col min="17" max="17" width="34.28515625" bestFit="1" customWidth="1"/>
    <col min="18" max="18" width="31" bestFit="1" customWidth="1"/>
    <col min="19" max="19" width="18" bestFit="1" customWidth="1"/>
    <col min="20" max="20" width="16.28515625" bestFit="1" customWidth="1"/>
  </cols>
  <sheetData>
    <row r="1" spans="1:2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/>
      <c r="V1" s="2"/>
      <c r="W1" s="2"/>
      <c r="X1" s="2"/>
      <c r="Y1" s="2"/>
      <c r="Z1" s="2"/>
    </row>
    <row r="2" spans="1:26" ht="15.75" thickBot="1" x14ac:dyDescent="0.3">
      <c r="A2" s="3">
        <v>46100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1277955380444250</v>
      </c>
      <c r="G2" s="2">
        <v>1.2024229057228E+17</v>
      </c>
      <c r="H2" s="2">
        <v>1.2024229057229E+17</v>
      </c>
      <c r="I2" s="2">
        <v>1.2024229057227E+17</v>
      </c>
      <c r="J2" s="2" t="s">
        <v>23</v>
      </c>
      <c r="K2" s="4">
        <v>7787</v>
      </c>
      <c r="L2">
        <v>454</v>
      </c>
      <c r="M2">
        <v>1889.45</v>
      </c>
      <c r="N2">
        <f>ROUND(K2*0.9,0)</f>
        <v>7008</v>
      </c>
      <c r="O2">
        <f>ROUND(N2*0.45,0)</f>
        <v>3154</v>
      </c>
      <c r="P2" s="5">
        <f>ROUND(K2*0.66,0)</f>
        <v>5139</v>
      </c>
      <c r="S2">
        <v>403</v>
      </c>
      <c r="T2">
        <v>6</v>
      </c>
    </row>
    <row r="3" spans="1:26" ht="15.75" thickBot="1" x14ac:dyDescent="0.3">
      <c r="A3" s="3">
        <v>46100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1277955380444250</v>
      </c>
      <c r="G3" s="2">
        <v>1.2024229057228E+17</v>
      </c>
      <c r="H3" s="2">
        <v>1.2024229057229E+17</v>
      </c>
      <c r="I3" s="2">
        <v>1.2024229057227E+17</v>
      </c>
      <c r="J3" s="2" t="s">
        <v>24</v>
      </c>
      <c r="K3" s="4">
        <v>3001</v>
      </c>
      <c r="L3">
        <v>996</v>
      </c>
      <c r="M3">
        <v>1291.67</v>
      </c>
      <c r="N3">
        <f t="shared" ref="N3:N66" si="0">ROUND(K3*0.9,0)</f>
        <v>2701</v>
      </c>
      <c r="O3">
        <f t="shared" ref="O3:O66" si="1">ROUND(N3*0.45,0)</f>
        <v>1215</v>
      </c>
      <c r="P3" s="5">
        <f t="shared" ref="P3:P66" si="2">ROUND(K3*0.66,0)</f>
        <v>1981</v>
      </c>
      <c r="S3">
        <v>24194</v>
      </c>
      <c r="T3">
        <v>183</v>
      </c>
    </row>
    <row r="4" spans="1:26" ht="15.75" thickBot="1" x14ac:dyDescent="0.3">
      <c r="A4" s="3">
        <v>46100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1277955380444250</v>
      </c>
      <c r="G4" s="2">
        <v>1.2024231584645E+17</v>
      </c>
      <c r="H4" s="2">
        <v>1.2024231618176E+17</v>
      </c>
      <c r="I4" s="2">
        <v>1.2024231618177E+17</v>
      </c>
      <c r="J4" s="2" t="s">
        <v>23</v>
      </c>
      <c r="K4" s="4">
        <v>3927</v>
      </c>
      <c r="L4">
        <v>827</v>
      </c>
      <c r="M4">
        <v>1638.2</v>
      </c>
      <c r="N4">
        <f t="shared" si="0"/>
        <v>3534</v>
      </c>
      <c r="O4">
        <f t="shared" si="1"/>
        <v>1590</v>
      </c>
      <c r="P4" s="5">
        <f t="shared" si="2"/>
        <v>2592</v>
      </c>
      <c r="S4">
        <v>2687</v>
      </c>
      <c r="T4">
        <v>122</v>
      </c>
    </row>
    <row r="5" spans="1:26" ht="15.75" thickBot="1" x14ac:dyDescent="0.3">
      <c r="A5" s="3">
        <v>46100</v>
      </c>
      <c r="B5" s="2" t="s">
        <v>25</v>
      </c>
      <c r="C5" s="2" t="s">
        <v>26</v>
      </c>
      <c r="D5" s="2" t="s">
        <v>27</v>
      </c>
      <c r="E5" s="2" t="s">
        <v>22</v>
      </c>
      <c r="F5" s="2">
        <v>1277955380444250</v>
      </c>
      <c r="G5" s="2">
        <v>1.2024231584645E+17</v>
      </c>
      <c r="H5" s="2">
        <v>1.2024231618176E+17</v>
      </c>
      <c r="I5" s="2">
        <v>1.2024231618177E+17</v>
      </c>
      <c r="J5" s="2" t="s">
        <v>24</v>
      </c>
      <c r="K5" s="4">
        <v>8347</v>
      </c>
      <c r="L5">
        <v>483</v>
      </c>
      <c r="M5">
        <v>776.16</v>
      </c>
      <c r="N5">
        <f t="shared" si="0"/>
        <v>7512</v>
      </c>
      <c r="O5">
        <f t="shared" si="1"/>
        <v>3380</v>
      </c>
      <c r="P5" s="5">
        <f t="shared" si="2"/>
        <v>5509</v>
      </c>
      <c r="S5">
        <v>47714</v>
      </c>
      <c r="T5">
        <v>2451</v>
      </c>
    </row>
    <row r="6" spans="1:26" ht="15.75" thickBot="1" x14ac:dyDescent="0.3">
      <c r="A6" s="3">
        <v>46100</v>
      </c>
      <c r="B6" s="2" t="s">
        <v>25</v>
      </c>
      <c r="C6" s="2" t="s">
        <v>28</v>
      </c>
      <c r="D6" s="2" t="s">
        <v>29</v>
      </c>
      <c r="E6" s="2" t="s">
        <v>22</v>
      </c>
      <c r="F6" s="2">
        <v>1277955380444250</v>
      </c>
      <c r="G6" s="2">
        <v>1.2024231584645E+17</v>
      </c>
      <c r="H6" s="2">
        <v>1.2024231613167E+17</v>
      </c>
      <c r="I6" s="2">
        <v>1.2024231613168E+17</v>
      </c>
      <c r="J6" s="2" t="s">
        <v>23</v>
      </c>
      <c r="K6" s="4">
        <v>5791</v>
      </c>
      <c r="L6">
        <v>651</v>
      </c>
      <c r="M6">
        <v>511.1</v>
      </c>
      <c r="N6">
        <f t="shared" si="0"/>
        <v>5212</v>
      </c>
      <c r="O6">
        <f t="shared" si="1"/>
        <v>2345</v>
      </c>
      <c r="P6" s="5">
        <f t="shared" si="2"/>
        <v>3822</v>
      </c>
      <c r="S6">
        <v>395</v>
      </c>
      <c r="T6">
        <v>27</v>
      </c>
    </row>
    <row r="7" spans="1:26" ht="15.75" thickBot="1" x14ac:dyDescent="0.3">
      <c r="A7" s="3">
        <v>46100</v>
      </c>
      <c r="B7" s="2" t="s">
        <v>25</v>
      </c>
      <c r="C7" s="2" t="s">
        <v>28</v>
      </c>
      <c r="D7" s="2" t="s">
        <v>29</v>
      </c>
      <c r="E7" s="2" t="s">
        <v>22</v>
      </c>
      <c r="F7" s="2">
        <v>1277955380444250</v>
      </c>
      <c r="G7" s="2">
        <v>1.2024231584645E+17</v>
      </c>
      <c r="H7" s="2">
        <v>1.2024231613167E+17</v>
      </c>
      <c r="I7" s="2">
        <v>1.2024231613168E+17</v>
      </c>
      <c r="J7" s="2" t="s">
        <v>24</v>
      </c>
      <c r="K7" s="4">
        <v>6279</v>
      </c>
      <c r="L7">
        <v>291</v>
      </c>
      <c r="M7">
        <v>829.26</v>
      </c>
      <c r="N7">
        <f t="shared" si="0"/>
        <v>5651</v>
      </c>
      <c r="O7">
        <f t="shared" si="1"/>
        <v>2543</v>
      </c>
      <c r="P7" s="5">
        <f t="shared" si="2"/>
        <v>4144</v>
      </c>
      <c r="S7">
        <v>8115</v>
      </c>
      <c r="T7">
        <v>285</v>
      </c>
    </row>
    <row r="8" spans="1:26" ht="15.75" thickBot="1" x14ac:dyDescent="0.3">
      <c r="A8" s="3">
        <v>46100</v>
      </c>
      <c r="B8" s="2" t="s">
        <v>25</v>
      </c>
      <c r="C8" s="2" t="s">
        <v>30</v>
      </c>
      <c r="D8" s="2" t="s">
        <v>31</v>
      </c>
      <c r="E8" s="2" t="s">
        <v>22</v>
      </c>
      <c r="F8" s="2">
        <v>1277955380444250</v>
      </c>
      <c r="G8" s="2">
        <v>1.2024231584645E+17</v>
      </c>
      <c r="H8" s="2">
        <v>1.2024231592817E+17</v>
      </c>
      <c r="I8" s="2">
        <v>1.2024231592818E+17</v>
      </c>
      <c r="J8" s="2" t="s">
        <v>23</v>
      </c>
      <c r="K8" s="4">
        <v>7714</v>
      </c>
      <c r="L8">
        <v>751</v>
      </c>
      <c r="M8">
        <v>1427.87</v>
      </c>
      <c r="N8">
        <f t="shared" si="0"/>
        <v>6943</v>
      </c>
      <c r="O8">
        <f t="shared" si="1"/>
        <v>3124</v>
      </c>
      <c r="P8" s="5">
        <f t="shared" si="2"/>
        <v>5091</v>
      </c>
    </row>
    <row r="9" spans="1:26" ht="15.75" thickBot="1" x14ac:dyDescent="0.3">
      <c r="A9" s="3">
        <v>46100</v>
      </c>
      <c r="B9" s="2" t="s">
        <v>25</v>
      </c>
      <c r="C9" s="2" t="s">
        <v>30</v>
      </c>
      <c r="D9" s="2" t="s">
        <v>31</v>
      </c>
      <c r="E9" s="2" t="s">
        <v>22</v>
      </c>
      <c r="F9" s="2">
        <v>1277955380444250</v>
      </c>
      <c r="G9" s="2">
        <v>1.2024231584645E+17</v>
      </c>
      <c r="H9" s="2">
        <v>1.2024231592817E+17</v>
      </c>
      <c r="I9" s="2">
        <v>1.2024231592818E+17</v>
      </c>
      <c r="J9" s="2" t="s">
        <v>24</v>
      </c>
      <c r="K9" s="4">
        <v>2399</v>
      </c>
      <c r="L9">
        <v>774</v>
      </c>
      <c r="M9">
        <v>738.11</v>
      </c>
      <c r="N9">
        <f t="shared" si="0"/>
        <v>2159</v>
      </c>
      <c r="O9">
        <f t="shared" si="1"/>
        <v>972</v>
      </c>
      <c r="P9" s="5">
        <f t="shared" si="2"/>
        <v>1583</v>
      </c>
    </row>
    <row r="10" spans="1:26" ht="15.75" thickBot="1" x14ac:dyDescent="0.3">
      <c r="A10" s="3">
        <v>46100</v>
      </c>
      <c r="B10" s="2" t="s">
        <v>25</v>
      </c>
      <c r="C10" s="2" t="s">
        <v>32</v>
      </c>
      <c r="D10" s="2" t="s">
        <v>33</v>
      </c>
      <c r="E10" s="2" t="s">
        <v>22</v>
      </c>
      <c r="F10" s="2">
        <v>1277955380444250</v>
      </c>
      <c r="G10" s="2">
        <v>1.2024231584645E+17</v>
      </c>
      <c r="H10" s="2">
        <v>1.2024231584646E+17</v>
      </c>
      <c r="I10" s="2">
        <v>1.2024231584644E+17</v>
      </c>
      <c r="J10" s="2" t="s">
        <v>23</v>
      </c>
      <c r="K10" s="4">
        <v>4988</v>
      </c>
      <c r="L10">
        <v>308</v>
      </c>
      <c r="M10">
        <v>1992.09</v>
      </c>
      <c r="N10">
        <f t="shared" si="0"/>
        <v>4489</v>
      </c>
      <c r="O10">
        <f t="shared" si="1"/>
        <v>2020</v>
      </c>
      <c r="P10" s="5">
        <f t="shared" si="2"/>
        <v>3292</v>
      </c>
    </row>
    <row r="11" spans="1:26" ht="15.75" thickBot="1" x14ac:dyDescent="0.3">
      <c r="A11" s="3">
        <v>46100</v>
      </c>
      <c r="B11" s="2" t="s">
        <v>25</v>
      </c>
      <c r="C11" s="2" t="s">
        <v>32</v>
      </c>
      <c r="D11" s="2" t="s">
        <v>33</v>
      </c>
      <c r="E11" s="2" t="s">
        <v>22</v>
      </c>
      <c r="F11" s="2">
        <v>1277955380444250</v>
      </c>
      <c r="G11" s="2">
        <v>1.2024231584645E+17</v>
      </c>
      <c r="H11" s="2">
        <v>1.2024231584646E+17</v>
      </c>
      <c r="I11" s="2">
        <v>1.2024231584644E+17</v>
      </c>
      <c r="J11" s="2" t="s">
        <v>24</v>
      </c>
      <c r="K11" s="4">
        <v>4846</v>
      </c>
      <c r="L11">
        <v>875</v>
      </c>
      <c r="M11">
        <v>1375.59</v>
      </c>
      <c r="N11">
        <f t="shared" si="0"/>
        <v>4361</v>
      </c>
      <c r="O11">
        <f t="shared" si="1"/>
        <v>1962</v>
      </c>
      <c r="P11" s="5">
        <f t="shared" si="2"/>
        <v>3198</v>
      </c>
    </row>
    <row r="12" spans="1:26" ht="15.75" thickBot="1" x14ac:dyDescent="0.3">
      <c r="A12" s="3">
        <v>46101</v>
      </c>
      <c r="B12" s="2" t="s">
        <v>19</v>
      </c>
      <c r="C12" s="2" t="s">
        <v>20</v>
      </c>
      <c r="D12" s="2" t="s">
        <v>21</v>
      </c>
      <c r="E12" s="2" t="s">
        <v>22</v>
      </c>
      <c r="F12" s="2">
        <v>1277955380444250</v>
      </c>
      <c r="G12" s="2">
        <v>1.2024229057228E+17</v>
      </c>
      <c r="H12" s="2">
        <v>1.2024229057229E+17</v>
      </c>
      <c r="I12" s="2">
        <v>1.2024229057227E+17</v>
      </c>
      <c r="J12" s="2" t="s">
        <v>23</v>
      </c>
      <c r="K12" s="4">
        <v>3943</v>
      </c>
      <c r="L12">
        <v>226</v>
      </c>
      <c r="M12">
        <v>1044.7</v>
      </c>
      <c r="N12">
        <f t="shared" si="0"/>
        <v>3549</v>
      </c>
      <c r="O12">
        <f t="shared" si="1"/>
        <v>1597</v>
      </c>
      <c r="P12" s="5">
        <f t="shared" si="2"/>
        <v>2602</v>
      </c>
      <c r="S12">
        <v>1206</v>
      </c>
      <c r="T12">
        <v>18</v>
      </c>
    </row>
    <row r="13" spans="1:26" ht="15.75" thickBot="1" x14ac:dyDescent="0.3">
      <c r="A13" s="3">
        <v>46101</v>
      </c>
      <c r="B13" s="2" t="s">
        <v>19</v>
      </c>
      <c r="C13" s="2" t="s">
        <v>20</v>
      </c>
      <c r="D13" s="2" t="s">
        <v>21</v>
      </c>
      <c r="E13" s="2" t="s">
        <v>22</v>
      </c>
      <c r="F13" s="2">
        <v>1277955380444250</v>
      </c>
      <c r="G13" s="2">
        <v>1.2024229057228E+17</v>
      </c>
      <c r="H13" s="2">
        <v>1.2024229057229E+17</v>
      </c>
      <c r="I13" s="2">
        <v>1.2024229057227E+17</v>
      </c>
      <c r="J13" s="2" t="s">
        <v>24</v>
      </c>
      <c r="K13" s="4">
        <v>2840</v>
      </c>
      <c r="L13">
        <v>559</v>
      </c>
      <c r="M13">
        <v>218.34</v>
      </c>
      <c r="N13">
        <f t="shared" si="0"/>
        <v>2556</v>
      </c>
      <c r="O13">
        <f t="shared" si="1"/>
        <v>1150</v>
      </c>
      <c r="P13" s="5">
        <f t="shared" si="2"/>
        <v>1874</v>
      </c>
      <c r="S13">
        <v>44098</v>
      </c>
      <c r="T13">
        <v>324</v>
      </c>
    </row>
    <row r="14" spans="1:26" ht="15.75" thickBot="1" x14ac:dyDescent="0.3">
      <c r="A14" s="3">
        <v>46101</v>
      </c>
      <c r="B14" s="2" t="s">
        <v>19</v>
      </c>
      <c r="C14" s="2" t="s">
        <v>20</v>
      </c>
      <c r="D14" s="2" t="s">
        <v>34</v>
      </c>
      <c r="E14" s="2" t="s">
        <v>22</v>
      </c>
      <c r="F14" s="2">
        <v>1277955380444250</v>
      </c>
      <c r="G14" s="2">
        <v>1.2024229057228E+17</v>
      </c>
      <c r="H14" s="2">
        <v>1.2024229057229E+17</v>
      </c>
      <c r="I14" s="2">
        <v>1.2024229334046E+17</v>
      </c>
      <c r="J14" s="2" t="s">
        <v>23</v>
      </c>
      <c r="K14" s="4">
        <v>8870</v>
      </c>
      <c r="L14">
        <v>437</v>
      </c>
      <c r="M14">
        <v>535.72</v>
      </c>
      <c r="N14">
        <f t="shared" si="0"/>
        <v>7983</v>
      </c>
      <c r="O14">
        <f t="shared" si="1"/>
        <v>3592</v>
      </c>
      <c r="P14" s="5">
        <f t="shared" si="2"/>
        <v>5854</v>
      </c>
      <c r="S14">
        <v>10</v>
      </c>
    </row>
    <row r="15" spans="1:26" ht="15.75" thickBot="1" x14ac:dyDescent="0.3">
      <c r="A15" s="3">
        <v>46101</v>
      </c>
      <c r="B15" s="2" t="s">
        <v>19</v>
      </c>
      <c r="C15" s="2" t="s">
        <v>20</v>
      </c>
      <c r="D15" s="2" t="s">
        <v>34</v>
      </c>
      <c r="E15" s="2" t="s">
        <v>22</v>
      </c>
      <c r="F15" s="2">
        <v>1277955380444250</v>
      </c>
      <c r="G15" s="2">
        <v>1.2024229057228E+17</v>
      </c>
      <c r="H15" s="2">
        <v>1.2024229057229E+17</v>
      </c>
      <c r="I15" s="2">
        <v>1.2024229334046E+17</v>
      </c>
      <c r="J15" s="2" t="s">
        <v>24</v>
      </c>
      <c r="K15" s="4">
        <v>8249</v>
      </c>
      <c r="L15">
        <v>246</v>
      </c>
      <c r="M15">
        <v>1005.15</v>
      </c>
      <c r="N15">
        <f t="shared" si="0"/>
        <v>7424</v>
      </c>
      <c r="O15">
        <f t="shared" si="1"/>
        <v>3341</v>
      </c>
      <c r="P15" s="5">
        <f t="shared" si="2"/>
        <v>5444</v>
      </c>
      <c r="S15">
        <v>2545</v>
      </c>
      <c r="T15">
        <v>9</v>
      </c>
    </row>
    <row r="16" spans="1:26" ht="15.75" thickBot="1" x14ac:dyDescent="0.3">
      <c r="A16" s="3">
        <v>46101</v>
      </c>
      <c r="B16" s="2" t="s">
        <v>25</v>
      </c>
      <c r="C16" s="2" t="s">
        <v>26</v>
      </c>
      <c r="D16" s="2" t="s">
        <v>27</v>
      </c>
      <c r="E16" s="2" t="s">
        <v>22</v>
      </c>
      <c r="F16" s="2">
        <v>1277955380444250</v>
      </c>
      <c r="G16" s="2">
        <v>1.2024231584645E+17</v>
      </c>
      <c r="H16" s="2">
        <v>1.2024231618176E+17</v>
      </c>
      <c r="I16" s="2">
        <v>1.2024231618177E+17</v>
      </c>
      <c r="J16" s="2" t="s">
        <v>23</v>
      </c>
      <c r="K16" s="4">
        <v>4788</v>
      </c>
      <c r="L16">
        <v>712</v>
      </c>
      <c r="M16">
        <v>1862.1</v>
      </c>
      <c r="N16">
        <f t="shared" si="0"/>
        <v>4309</v>
      </c>
      <c r="O16">
        <f t="shared" si="1"/>
        <v>1939</v>
      </c>
      <c r="P16" s="5">
        <f t="shared" si="2"/>
        <v>3160</v>
      </c>
      <c r="S16">
        <v>3729</v>
      </c>
      <c r="T16">
        <v>200</v>
      </c>
    </row>
    <row r="17" spans="1:20" ht="15.75" thickBot="1" x14ac:dyDescent="0.3">
      <c r="A17" s="3">
        <v>46101</v>
      </c>
      <c r="B17" s="2" t="s">
        <v>25</v>
      </c>
      <c r="C17" s="2" t="s">
        <v>26</v>
      </c>
      <c r="D17" s="2" t="s">
        <v>27</v>
      </c>
      <c r="E17" s="2" t="s">
        <v>22</v>
      </c>
      <c r="F17" s="2">
        <v>1277955380444250</v>
      </c>
      <c r="G17" s="2">
        <v>1.2024231584645E+17</v>
      </c>
      <c r="H17" s="2">
        <v>1.2024231618176E+17</v>
      </c>
      <c r="I17" s="2">
        <v>1.2024231618177E+17</v>
      </c>
      <c r="J17" s="2" t="s">
        <v>24</v>
      </c>
      <c r="K17" s="4">
        <v>8433</v>
      </c>
      <c r="L17">
        <v>786</v>
      </c>
      <c r="M17">
        <v>1731.25</v>
      </c>
      <c r="N17">
        <f t="shared" si="0"/>
        <v>7590</v>
      </c>
      <c r="O17">
        <f t="shared" si="1"/>
        <v>3416</v>
      </c>
      <c r="P17" s="5">
        <f t="shared" si="2"/>
        <v>5566</v>
      </c>
      <c r="S17">
        <v>22556</v>
      </c>
      <c r="T17">
        <v>1262</v>
      </c>
    </row>
    <row r="18" spans="1:20" ht="15.75" thickBot="1" x14ac:dyDescent="0.3">
      <c r="A18" s="3">
        <v>46101</v>
      </c>
      <c r="B18" s="2" t="s">
        <v>25</v>
      </c>
      <c r="C18" s="2" t="s">
        <v>28</v>
      </c>
      <c r="D18" s="2" t="s">
        <v>29</v>
      </c>
      <c r="E18" s="2" t="s">
        <v>22</v>
      </c>
      <c r="F18" s="2">
        <v>1277955380444250</v>
      </c>
      <c r="G18" s="2">
        <v>1.2024231584645E+17</v>
      </c>
      <c r="H18" s="2">
        <v>1.2024231613167E+17</v>
      </c>
      <c r="I18" s="2">
        <v>1.2024231613168E+17</v>
      </c>
      <c r="J18" s="2" t="s">
        <v>23</v>
      </c>
      <c r="K18" s="4">
        <v>6226</v>
      </c>
      <c r="L18">
        <v>439</v>
      </c>
      <c r="M18">
        <v>584.20000000000005</v>
      </c>
      <c r="N18">
        <f t="shared" si="0"/>
        <v>5603</v>
      </c>
      <c r="O18">
        <f t="shared" si="1"/>
        <v>2521</v>
      </c>
      <c r="P18" s="5">
        <f t="shared" si="2"/>
        <v>4109</v>
      </c>
      <c r="S18">
        <v>2403</v>
      </c>
      <c r="T18">
        <v>195</v>
      </c>
    </row>
    <row r="19" spans="1:20" ht="15.75" thickBot="1" x14ac:dyDescent="0.3">
      <c r="A19" s="3">
        <v>46101</v>
      </c>
      <c r="B19" s="2" t="s">
        <v>25</v>
      </c>
      <c r="C19" s="2" t="s">
        <v>28</v>
      </c>
      <c r="D19" s="2" t="s">
        <v>29</v>
      </c>
      <c r="E19" s="2" t="s">
        <v>22</v>
      </c>
      <c r="F19" s="2">
        <v>1277955380444250</v>
      </c>
      <c r="G19" s="2">
        <v>1.2024231584645E+17</v>
      </c>
      <c r="H19" s="2">
        <v>1.2024231613167E+17</v>
      </c>
      <c r="I19" s="2">
        <v>1.2024231613168E+17</v>
      </c>
      <c r="J19" s="2" t="s">
        <v>24</v>
      </c>
      <c r="K19" s="4">
        <v>9138</v>
      </c>
      <c r="L19">
        <v>340</v>
      </c>
      <c r="M19">
        <v>1013.62</v>
      </c>
      <c r="N19">
        <f t="shared" si="0"/>
        <v>8224</v>
      </c>
      <c r="O19">
        <f t="shared" si="1"/>
        <v>3701</v>
      </c>
      <c r="P19" s="5">
        <f t="shared" si="2"/>
        <v>6031</v>
      </c>
      <c r="S19">
        <v>29320</v>
      </c>
      <c r="T19">
        <v>1245</v>
      </c>
    </row>
    <row r="20" spans="1:20" ht="15.75" thickBot="1" x14ac:dyDescent="0.3">
      <c r="A20" s="3">
        <v>46101</v>
      </c>
      <c r="B20" s="2" t="s">
        <v>25</v>
      </c>
      <c r="C20" s="2" t="s">
        <v>30</v>
      </c>
      <c r="D20" s="2" t="s">
        <v>31</v>
      </c>
      <c r="E20" s="2" t="s">
        <v>22</v>
      </c>
      <c r="F20" s="2">
        <v>1277955380444250</v>
      </c>
      <c r="G20" s="2">
        <v>1.2024231584645E+17</v>
      </c>
      <c r="H20" s="2">
        <v>1.2024231592817E+17</v>
      </c>
      <c r="I20" s="2">
        <v>1.2024231592818E+17</v>
      </c>
      <c r="J20" s="2" t="s">
        <v>23</v>
      </c>
      <c r="K20" s="4">
        <v>2231</v>
      </c>
      <c r="L20">
        <v>889</v>
      </c>
      <c r="M20">
        <v>1508.05</v>
      </c>
      <c r="N20">
        <f t="shared" si="0"/>
        <v>2008</v>
      </c>
      <c r="O20">
        <f t="shared" si="1"/>
        <v>904</v>
      </c>
      <c r="P20" s="5">
        <f t="shared" si="2"/>
        <v>1472</v>
      </c>
    </row>
    <row r="21" spans="1:20" ht="15.75" thickBot="1" x14ac:dyDescent="0.3">
      <c r="A21" s="3">
        <v>46101</v>
      </c>
      <c r="B21" s="2" t="s">
        <v>25</v>
      </c>
      <c r="C21" s="2" t="s">
        <v>30</v>
      </c>
      <c r="D21" s="2" t="s">
        <v>31</v>
      </c>
      <c r="E21" s="2" t="s">
        <v>22</v>
      </c>
      <c r="F21" s="2">
        <v>1277955380444250</v>
      </c>
      <c r="G21" s="2">
        <v>1.2024231584645E+17</v>
      </c>
      <c r="H21" s="2">
        <v>1.2024231592817E+17</v>
      </c>
      <c r="I21" s="2">
        <v>1.2024231592818E+17</v>
      </c>
      <c r="J21" s="2" t="s">
        <v>24</v>
      </c>
      <c r="K21" s="4">
        <v>4735</v>
      </c>
      <c r="L21">
        <v>434</v>
      </c>
      <c r="M21">
        <v>502.67</v>
      </c>
      <c r="N21">
        <f t="shared" si="0"/>
        <v>4262</v>
      </c>
      <c r="O21">
        <f t="shared" si="1"/>
        <v>1918</v>
      </c>
      <c r="P21" s="5">
        <f t="shared" si="2"/>
        <v>3125</v>
      </c>
    </row>
    <row r="22" spans="1:20" ht="15.75" thickBot="1" x14ac:dyDescent="0.3">
      <c r="A22" s="3">
        <v>46101</v>
      </c>
      <c r="B22" s="2" t="s">
        <v>25</v>
      </c>
      <c r="C22" s="2" t="s">
        <v>32</v>
      </c>
      <c r="D22" s="2" t="s">
        <v>33</v>
      </c>
      <c r="E22" s="2" t="s">
        <v>22</v>
      </c>
      <c r="F22" s="2">
        <v>1277955380444250</v>
      </c>
      <c r="G22" s="2">
        <v>1.2024231584645E+17</v>
      </c>
      <c r="H22" s="2">
        <v>1.2024231584646E+17</v>
      </c>
      <c r="I22" s="2">
        <v>1.2024231584644E+17</v>
      </c>
      <c r="J22" s="2" t="s">
        <v>23</v>
      </c>
      <c r="K22" s="4">
        <v>2372</v>
      </c>
      <c r="L22">
        <v>207</v>
      </c>
      <c r="M22">
        <v>1303.26</v>
      </c>
      <c r="N22">
        <f t="shared" si="0"/>
        <v>2135</v>
      </c>
      <c r="O22">
        <f t="shared" si="1"/>
        <v>961</v>
      </c>
      <c r="P22" s="5">
        <f t="shared" si="2"/>
        <v>1566</v>
      </c>
    </row>
    <row r="23" spans="1:20" ht="15.75" thickBot="1" x14ac:dyDescent="0.3">
      <c r="A23" s="3">
        <v>46101</v>
      </c>
      <c r="B23" s="2" t="s">
        <v>25</v>
      </c>
      <c r="C23" s="2" t="s">
        <v>32</v>
      </c>
      <c r="D23" s="2" t="s">
        <v>33</v>
      </c>
      <c r="E23" s="2" t="s">
        <v>22</v>
      </c>
      <c r="F23" s="2">
        <v>1277955380444250</v>
      </c>
      <c r="G23" s="2">
        <v>1.2024231584645E+17</v>
      </c>
      <c r="H23" s="2">
        <v>1.2024231584646E+17</v>
      </c>
      <c r="I23" s="2">
        <v>1.2024231584644E+17</v>
      </c>
      <c r="J23" s="2" t="s">
        <v>24</v>
      </c>
      <c r="K23" s="4">
        <v>6894</v>
      </c>
      <c r="L23">
        <v>119</v>
      </c>
      <c r="M23">
        <v>1702.1</v>
      </c>
      <c r="N23">
        <f t="shared" si="0"/>
        <v>6205</v>
      </c>
      <c r="O23">
        <f t="shared" si="1"/>
        <v>2792</v>
      </c>
      <c r="P23" s="5">
        <f t="shared" si="2"/>
        <v>4550</v>
      </c>
    </row>
    <row r="24" spans="1:20" ht="15.75" thickBot="1" x14ac:dyDescent="0.3">
      <c r="A24" s="3">
        <v>46102</v>
      </c>
      <c r="B24" s="2" t="s">
        <v>19</v>
      </c>
      <c r="C24" s="2" t="s">
        <v>20</v>
      </c>
      <c r="D24" s="2" t="s">
        <v>21</v>
      </c>
      <c r="E24" s="2" t="s">
        <v>22</v>
      </c>
      <c r="F24" s="2">
        <v>1277955380444250</v>
      </c>
      <c r="G24" s="2">
        <v>1.2024229057228E+17</v>
      </c>
      <c r="H24" s="2">
        <v>1.2024229057229E+17</v>
      </c>
      <c r="I24" s="2">
        <v>1.2024229057227E+17</v>
      </c>
      <c r="J24" s="2" t="s">
        <v>23</v>
      </c>
      <c r="K24" s="4">
        <v>1502</v>
      </c>
      <c r="L24">
        <v>908</v>
      </c>
      <c r="M24">
        <v>1379.38</v>
      </c>
      <c r="N24">
        <f t="shared" si="0"/>
        <v>1352</v>
      </c>
      <c r="O24">
        <f t="shared" si="1"/>
        <v>608</v>
      </c>
      <c r="P24" s="5">
        <f t="shared" si="2"/>
        <v>991</v>
      </c>
      <c r="S24">
        <v>2631</v>
      </c>
      <c r="T24">
        <v>24</v>
      </c>
    </row>
    <row r="25" spans="1:20" ht="15.75" thickBot="1" x14ac:dyDescent="0.3">
      <c r="A25" s="3">
        <v>46102</v>
      </c>
      <c r="B25" s="2" t="s">
        <v>19</v>
      </c>
      <c r="C25" s="2" t="s">
        <v>20</v>
      </c>
      <c r="D25" s="2" t="s">
        <v>21</v>
      </c>
      <c r="E25" s="2" t="s">
        <v>22</v>
      </c>
      <c r="F25" s="2">
        <v>1277955380444250</v>
      </c>
      <c r="G25" s="2">
        <v>1.2024229057228E+17</v>
      </c>
      <c r="H25" s="2">
        <v>1.2024229057229E+17</v>
      </c>
      <c r="I25" s="2">
        <v>1.2024229057227E+17</v>
      </c>
      <c r="J25" s="2" t="s">
        <v>24</v>
      </c>
      <c r="K25" s="4">
        <v>2964</v>
      </c>
      <c r="L25">
        <v>975</v>
      </c>
      <c r="M25">
        <v>898.65</v>
      </c>
      <c r="N25">
        <f t="shared" si="0"/>
        <v>2668</v>
      </c>
      <c r="O25">
        <f t="shared" si="1"/>
        <v>1201</v>
      </c>
      <c r="P25" s="5">
        <f t="shared" si="2"/>
        <v>1956</v>
      </c>
      <c r="S25">
        <v>27932</v>
      </c>
      <c r="T25">
        <v>202</v>
      </c>
    </row>
    <row r="26" spans="1:20" ht="15.75" thickBot="1" x14ac:dyDescent="0.3">
      <c r="A26" s="3">
        <v>46102</v>
      </c>
      <c r="B26" s="2" t="s">
        <v>19</v>
      </c>
      <c r="C26" s="2" t="s">
        <v>20</v>
      </c>
      <c r="D26" s="2" t="s">
        <v>34</v>
      </c>
      <c r="E26" s="2" t="s">
        <v>22</v>
      </c>
      <c r="F26" s="2">
        <v>1277955380444250</v>
      </c>
      <c r="G26" s="2">
        <v>1.2024229057228E+17</v>
      </c>
      <c r="H26" s="2">
        <v>1.2024229057229E+17</v>
      </c>
      <c r="I26" s="2">
        <v>1.2024229334046E+17</v>
      </c>
      <c r="J26" s="2" t="s">
        <v>23</v>
      </c>
      <c r="K26" s="4">
        <v>8565</v>
      </c>
      <c r="L26">
        <v>952</v>
      </c>
      <c r="M26">
        <v>1292.74</v>
      </c>
      <c r="N26">
        <f t="shared" si="0"/>
        <v>7709</v>
      </c>
      <c r="O26">
        <f t="shared" si="1"/>
        <v>3469</v>
      </c>
      <c r="P26" s="5">
        <f t="shared" si="2"/>
        <v>5653</v>
      </c>
      <c r="S26">
        <v>6642</v>
      </c>
      <c r="T26">
        <v>37</v>
      </c>
    </row>
    <row r="27" spans="1:20" ht="15.75" thickBot="1" x14ac:dyDescent="0.3">
      <c r="A27" s="3">
        <v>46102</v>
      </c>
      <c r="B27" s="2" t="s">
        <v>19</v>
      </c>
      <c r="C27" s="2" t="s">
        <v>20</v>
      </c>
      <c r="D27" s="2" t="s">
        <v>34</v>
      </c>
      <c r="E27" s="2" t="s">
        <v>22</v>
      </c>
      <c r="F27" s="2">
        <v>1277955380444250</v>
      </c>
      <c r="G27" s="2">
        <v>1.2024229057228E+17</v>
      </c>
      <c r="H27" s="2">
        <v>1.2024229057229E+17</v>
      </c>
      <c r="I27" s="2">
        <v>1.2024229334046E+17</v>
      </c>
      <c r="J27" s="2" t="s">
        <v>24</v>
      </c>
      <c r="K27" s="4">
        <v>2641</v>
      </c>
      <c r="L27">
        <v>133</v>
      </c>
      <c r="M27">
        <v>1804.26</v>
      </c>
      <c r="N27">
        <f t="shared" si="0"/>
        <v>2377</v>
      </c>
      <c r="O27">
        <f t="shared" si="1"/>
        <v>1070</v>
      </c>
      <c r="P27" s="5">
        <f t="shared" si="2"/>
        <v>1743</v>
      </c>
      <c r="S27">
        <v>114627</v>
      </c>
      <c r="T27">
        <v>451</v>
      </c>
    </row>
    <row r="28" spans="1:20" ht="15.75" thickBot="1" x14ac:dyDescent="0.3">
      <c r="A28" s="3">
        <v>46102</v>
      </c>
      <c r="B28" s="2" t="s">
        <v>25</v>
      </c>
      <c r="C28" s="2" t="s">
        <v>26</v>
      </c>
      <c r="D28" s="2" t="s">
        <v>35</v>
      </c>
      <c r="E28" s="2" t="s">
        <v>22</v>
      </c>
      <c r="F28" s="2">
        <v>1277955380444250</v>
      </c>
      <c r="G28" s="2">
        <v>1.2024231584645E+17</v>
      </c>
      <c r="H28" s="2">
        <v>1.2024231618176E+17</v>
      </c>
      <c r="I28" s="2">
        <v>1.2024235726836E+17</v>
      </c>
      <c r="J28" s="2" t="s">
        <v>23</v>
      </c>
      <c r="K28" s="4">
        <v>7851</v>
      </c>
      <c r="L28">
        <v>453</v>
      </c>
      <c r="M28">
        <v>340.72</v>
      </c>
      <c r="N28">
        <f t="shared" si="0"/>
        <v>7066</v>
      </c>
      <c r="O28">
        <f t="shared" si="1"/>
        <v>3180</v>
      </c>
      <c r="P28" s="5">
        <f t="shared" si="2"/>
        <v>5182</v>
      </c>
      <c r="S28">
        <v>3597</v>
      </c>
      <c r="T28">
        <v>292</v>
      </c>
    </row>
    <row r="29" spans="1:20" ht="15.75" thickBot="1" x14ac:dyDescent="0.3">
      <c r="A29" s="3">
        <v>46102</v>
      </c>
      <c r="B29" s="2" t="s">
        <v>25</v>
      </c>
      <c r="C29" s="2" t="s">
        <v>26</v>
      </c>
      <c r="D29" s="2" t="s">
        <v>35</v>
      </c>
      <c r="E29" s="2" t="s">
        <v>22</v>
      </c>
      <c r="F29" s="2">
        <v>1277955380444250</v>
      </c>
      <c r="G29" s="2">
        <v>1.2024231584645E+17</v>
      </c>
      <c r="H29" s="2">
        <v>1.2024231618176E+17</v>
      </c>
      <c r="I29" s="2">
        <v>1.2024235726836E+17</v>
      </c>
      <c r="J29" s="2" t="s">
        <v>24</v>
      </c>
      <c r="K29" s="4">
        <v>4740</v>
      </c>
      <c r="L29">
        <v>916</v>
      </c>
      <c r="M29">
        <v>126.84</v>
      </c>
      <c r="N29">
        <f t="shared" si="0"/>
        <v>4266</v>
      </c>
      <c r="O29">
        <f t="shared" si="1"/>
        <v>1920</v>
      </c>
      <c r="P29" s="5">
        <f t="shared" si="2"/>
        <v>3128</v>
      </c>
      <c r="S29">
        <v>8207</v>
      </c>
      <c r="T29">
        <v>699</v>
      </c>
    </row>
    <row r="30" spans="1:20" ht="15.75" thickBot="1" x14ac:dyDescent="0.3">
      <c r="A30" s="3">
        <v>46102</v>
      </c>
      <c r="B30" s="2" t="s">
        <v>25</v>
      </c>
      <c r="C30" s="2" t="s">
        <v>26</v>
      </c>
      <c r="D30" s="2" t="s">
        <v>35</v>
      </c>
      <c r="E30" s="2" t="s">
        <v>22</v>
      </c>
      <c r="F30" s="2">
        <v>1277955380444250</v>
      </c>
      <c r="G30" s="2">
        <v>1.2024231584645E+17</v>
      </c>
      <c r="H30" s="2">
        <v>1.2024231618176E+17</v>
      </c>
      <c r="I30" s="2">
        <v>1.2024235726836E+17</v>
      </c>
      <c r="J30" s="2" t="s">
        <v>36</v>
      </c>
      <c r="K30" s="4">
        <v>2858</v>
      </c>
      <c r="L30">
        <v>203</v>
      </c>
      <c r="M30">
        <v>387.83</v>
      </c>
      <c r="N30">
        <f t="shared" si="0"/>
        <v>2572</v>
      </c>
      <c r="O30">
        <f t="shared" si="1"/>
        <v>1157</v>
      </c>
      <c r="P30" s="5">
        <f t="shared" si="2"/>
        <v>1886</v>
      </c>
      <c r="S30">
        <v>7</v>
      </c>
      <c r="T30">
        <v>1</v>
      </c>
    </row>
    <row r="31" spans="1:20" ht="15.75" thickBot="1" x14ac:dyDescent="0.3">
      <c r="A31" s="3">
        <v>46102</v>
      </c>
      <c r="B31" s="2" t="s">
        <v>25</v>
      </c>
      <c r="C31" s="2" t="s">
        <v>28</v>
      </c>
      <c r="D31" s="2" t="s">
        <v>37</v>
      </c>
      <c r="E31" s="2" t="s">
        <v>22</v>
      </c>
      <c r="F31" s="2">
        <v>1277955380444250</v>
      </c>
      <c r="G31" s="2">
        <v>1.2024231584645E+17</v>
      </c>
      <c r="H31" s="2">
        <v>1.2024231613167E+17</v>
      </c>
      <c r="I31" s="2">
        <v>1.2024235723042E+17</v>
      </c>
      <c r="J31" s="2" t="s">
        <v>23</v>
      </c>
      <c r="K31" s="4">
        <v>4581</v>
      </c>
      <c r="L31">
        <v>71</v>
      </c>
      <c r="M31">
        <v>164.73</v>
      </c>
      <c r="N31">
        <f t="shared" si="0"/>
        <v>4123</v>
      </c>
      <c r="O31">
        <f t="shared" si="1"/>
        <v>1855</v>
      </c>
      <c r="P31" s="5">
        <f t="shared" si="2"/>
        <v>3023</v>
      </c>
      <c r="S31">
        <v>1412</v>
      </c>
      <c r="T31">
        <v>152</v>
      </c>
    </row>
    <row r="32" spans="1:20" ht="15.75" thickBot="1" x14ac:dyDescent="0.3">
      <c r="A32" s="3">
        <v>46102</v>
      </c>
      <c r="B32" s="2" t="s">
        <v>25</v>
      </c>
      <c r="C32" s="2" t="s">
        <v>28</v>
      </c>
      <c r="D32" s="2" t="s">
        <v>37</v>
      </c>
      <c r="E32" s="2" t="s">
        <v>22</v>
      </c>
      <c r="F32" s="2">
        <v>1277955380444250</v>
      </c>
      <c r="G32" s="2">
        <v>1.2024231584645E+17</v>
      </c>
      <c r="H32" s="2">
        <v>1.2024231613167E+17</v>
      </c>
      <c r="I32" s="2">
        <v>1.2024235723042E+17</v>
      </c>
      <c r="J32" s="2" t="s">
        <v>24</v>
      </c>
      <c r="K32" s="4">
        <v>7416</v>
      </c>
      <c r="L32">
        <v>165</v>
      </c>
      <c r="M32">
        <v>1055.79</v>
      </c>
      <c r="N32">
        <f t="shared" si="0"/>
        <v>6674</v>
      </c>
      <c r="O32">
        <f t="shared" si="1"/>
        <v>3003</v>
      </c>
      <c r="P32" s="5">
        <f t="shared" si="2"/>
        <v>4895</v>
      </c>
      <c r="S32">
        <v>10164</v>
      </c>
      <c r="T32">
        <v>617</v>
      </c>
    </row>
    <row r="33" spans="1:20" ht="15.75" thickBot="1" x14ac:dyDescent="0.3">
      <c r="A33" s="3">
        <v>46102</v>
      </c>
      <c r="B33" s="2" t="s">
        <v>25</v>
      </c>
      <c r="C33" s="2" t="s">
        <v>30</v>
      </c>
      <c r="D33" s="2" t="s">
        <v>31</v>
      </c>
      <c r="E33" s="2" t="s">
        <v>22</v>
      </c>
      <c r="F33" s="2">
        <v>1277955380444250</v>
      </c>
      <c r="G33" s="2">
        <v>1.2024231584645E+17</v>
      </c>
      <c r="H33" s="2">
        <v>1.2024231592817E+17</v>
      </c>
      <c r="I33" s="2">
        <v>1.2024231592818E+17</v>
      </c>
      <c r="J33" s="2" t="s">
        <v>24</v>
      </c>
      <c r="K33" s="4">
        <v>6021</v>
      </c>
      <c r="L33">
        <v>745</v>
      </c>
      <c r="M33">
        <v>1370.09</v>
      </c>
      <c r="N33">
        <f t="shared" si="0"/>
        <v>5419</v>
      </c>
      <c r="O33">
        <f t="shared" si="1"/>
        <v>2439</v>
      </c>
      <c r="P33" s="5">
        <f t="shared" si="2"/>
        <v>3974</v>
      </c>
    </row>
    <row r="34" spans="1:20" ht="15.75" thickBot="1" x14ac:dyDescent="0.3">
      <c r="A34" s="3">
        <v>46102</v>
      </c>
      <c r="B34" s="2" t="s">
        <v>25</v>
      </c>
      <c r="C34" s="2" t="s">
        <v>30</v>
      </c>
      <c r="D34" s="2" t="s">
        <v>38</v>
      </c>
      <c r="E34" s="2" t="s">
        <v>22</v>
      </c>
      <c r="F34" s="2">
        <v>1277955380444250</v>
      </c>
      <c r="G34" s="2">
        <v>1.2024231584645E+17</v>
      </c>
      <c r="H34" s="2">
        <v>1.2024231592817E+17</v>
      </c>
      <c r="I34" s="2">
        <v>1.202423571795E+17</v>
      </c>
      <c r="J34" s="2" t="s">
        <v>23</v>
      </c>
      <c r="K34" s="4">
        <v>3697</v>
      </c>
      <c r="L34">
        <v>526</v>
      </c>
      <c r="M34">
        <v>1416.29</v>
      </c>
      <c r="N34">
        <f t="shared" si="0"/>
        <v>3327</v>
      </c>
      <c r="O34">
        <f t="shared" si="1"/>
        <v>1497</v>
      </c>
      <c r="P34" s="5">
        <f t="shared" si="2"/>
        <v>2440</v>
      </c>
      <c r="S34">
        <v>1384</v>
      </c>
      <c r="T34">
        <v>122</v>
      </c>
    </row>
    <row r="35" spans="1:20" ht="15.75" thickBot="1" x14ac:dyDescent="0.3">
      <c r="A35" s="3">
        <v>46102</v>
      </c>
      <c r="B35" s="2" t="s">
        <v>25</v>
      </c>
      <c r="C35" s="2" t="s">
        <v>30</v>
      </c>
      <c r="D35" s="2" t="s">
        <v>38</v>
      </c>
      <c r="E35" s="2" t="s">
        <v>22</v>
      </c>
      <c r="F35" s="2">
        <v>1277955380444250</v>
      </c>
      <c r="G35" s="2">
        <v>1.2024231584645E+17</v>
      </c>
      <c r="H35" s="2">
        <v>1.2024231592817E+17</v>
      </c>
      <c r="I35" s="2">
        <v>1.202423571795E+17</v>
      </c>
      <c r="J35" s="2" t="s">
        <v>24</v>
      </c>
      <c r="K35" s="4">
        <v>4658</v>
      </c>
      <c r="L35">
        <v>70</v>
      </c>
      <c r="M35">
        <v>861.92</v>
      </c>
      <c r="N35">
        <f t="shared" si="0"/>
        <v>4192</v>
      </c>
      <c r="O35">
        <f t="shared" si="1"/>
        <v>1886</v>
      </c>
      <c r="P35" s="5">
        <f t="shared" si="2"/>
        <v>3074</v>
      </c>
      <c r="S35">
        <v>22217</v>
      </c>
      <c r="T35">
        <v>1155</v>
      </c>
    </row>
    <row r="36" spans="1:20" ht="15.75" thickBot="1" x14ac:dyDescent="0.3">
      <c r="A36" s="3">
        <v>46102</v>
      </c>
      <c r="B36" s="2" t="s">
        <v>25</v>
      </c>
      <c r="C36" s="2" t="s">
        <v>30</v>
      </c>
      <c r="D36" s="2" t="s">
        <v>38</v>
      </c>
      <c r="E36" s="2" t="s">
        <v>22</v>
      </c>
      <c r="F36" s="2">
        <v>1277955380444250</v>
      </c>
      <c r="G36" s="2">
        <v>1.2024231584645E+17</v>
      </c>
      <c r="H36" s="2">
        <v>1.2024231592817E+17</v>
      </c>
      <c r="I36" s="2">
        <v>1.202423571795E+17</v>
      </c>
      <c r="J36" s="2" t="s">
        <v>36</v>
      </c>
      <c r="K36" s="4">
        <v>8648</v>
      </c>
      <c r="L36">
        <v>652</v>
      </c>
      <c r="M36">
        <v>1562.3</v>
      </c>
      <c r="N36">
        <f t="shared" si="0"/>
        <v>7783</v>
      </c>
      <c r="O36">
        <f t="shared" si="1"/>
        <v>3502</v>
      </c>
      <c r="P36" s="5">
        <f t="shared" si="2"/>
        <v>5708</v>
      </c>
      <c r="S36">
        <v>20</v>
      </c>
      <c r="T36">
        <v>1</v>
      </c>
    </row>
    <row r="37" spans="1:20" ht="15.75" thickBot="1" x14ac:dyDescent="0.3">
      <c r="A37" s="3">
        <v>46102</v>
      </c>
      <c r="B37" s="2" t="s">
        <v>25</v>
      </c>
      <c r="C37" s="2" t="s">
        <v>32</v>
      </c>
      <c r="D37" s="2" t="s">
        <v>33</v>
      </c>
      <c r="E37" s="2" t="s">
        <v>22</v>
      </c>
      <c r="F37" s="2">
        <v>1277955380444250</v>
      </c>
      <c r="G37" s="2">
        <v>1.2024231584645E+17</v>
      </c>
      <c r="H37" s="2">
        <v>1.2024231584646E+17</v>
      </c>
      <c r="I37" s="2">
        <v>1.2024231584644E+17</v>
      </c>
      <c r="J37" s="2" t="s">
        <v>23</v>
      </c>
      <c r="K37" s="4">
        <v>5270</v>
      </c>
      <c r="L37">
        <v>250</v>
      </c>
      <c r="M37">
        <v>1930.03</v>
      </c>
      <c r="N37">
        <f t="shared" si="0"/>
        <v>4743</v>
      </c>
      <c r="O37">
        <f t="shared" si="1"/>
        <v>2134</v>
      </c>
      <c r="P37" s="5">
        <f t="shared" si="2"/>
        <v>3478</v>
      </c>
    </row>
    <row r="38" spans="1:20" ht="15.75" thickBot="1" x14ac:dyDescent="0.3">
      <c r="A38" s="3">
        <v>46102</v>
      </c>
      <c r="B38" s="2" t="s">
        <v>25</v>
      </c>
      <c r="C38" s="2" t="s">
        <v>32</v>
      </c>
      <c r="D38" s="2" t="s">
        <v>39</v>
      </c>
      <c r="E38" s="2" t="s">
        <v>22</v>
      </c>
      <c r="F38" s="2">
        <v>1277955380444250</v>
      </c>
      <c r="G38" s="2">
        <v>1.2024231584645E+17</v>
      </c>
      <c r="H38" s="2">
        <v>1.2024231584646E+17</v>
      </c>
      <c r="I38" s="2">
        <v>1.202423570912E+17</v>
      </c>
      <c r="J38" s="2" t="s">
        <v>23</v>
      </c>
      <c r="K38" s="4">
        <v>9292</v>
      </c>
      <c r="L38">
        <v>653</v>
      </c>
      <c r="M38">
        <v>557.17999999999995</v>
      </c>
      <c r="N38">
        <f t="shared" si="0"/>
        <v>8363</v>
      </c>
      <c r="O38">
        <f t="shared" si="1"/>
        <v>3763</v>
      </c>
      <c r="P38" s="5">
        <f t="shared" si="2"/>
        <v>6133</v>
      </c>
    </row>
    <row r="39" spans="1:20" ht="15.75" thickBot="1" x14ac:dyDescent="0.3">
      <c r="A39" s="3">
        <v>46102</v>
      </c>
      <c r="B39" s="2" t="s">
        <v>25</v>
      </c>
      <c r="C39" s="2" t="s">
        <v>32</v>
      </c>
      <c r="D39" s="2" t="s">
        <v>39</v>
      </c>
      <c r="E39" s="2" t="s">
        <v>22</v>
      </c>
      <c r="F39" s="2">
        <v>1277955380444250</v>
      </c>
      <c r="G39" s="2">
        <v>1.2024231584645E+17</v>
      </c>
      <c r="H39" s="2">
        <v>1.2024231584646E+17</v>
      </c>
      <c r="I39" s="2">
        <v>1.202423570912E+17</v>
      </c>
      <c r="J39" s="2" t="s">
        <v>24</v>
      </c>
      <c r="K39" s="4">
        <v>3508</v>
      </c>
      <c r="L39">
        <v>399</v>
      </c>
      <c r="M39">
        <v>1238.9000000000001</v>
      </c>
      <c r="N39">
        <f t="shared" si="0"/>
        <v>3157</v>
      </c>
      <c r="O39">
        <f t="shared" si="1"/>
        <v>1421</v>
      </c>
      <c r="P39" s="5">
        <f t="shared" si="2"/>
        <v>2315</v>
      </c>
    </row>
    <row r="40" spans="1:20" ht="15.75" thickBot="1" x14ac:dyDescent="0.3">
      <c r="A40" s="3">
        <v>46102</v>
      </c>
      <c r="B40" s="2" t="s">
        <v>25</v>
      </c>
      <c r="C40" s="2" t="s">
        <v>32</v>
      </c>
      <c r="D40" s="2" t="s">
        <v>39</v>
      </c>
      <c r="E40" s="2" t="s">
        <v>22</v>
      </c>
      <c r="F40" s="2">
        <v>1277955380444250</v>
      </c>
      <c r="G40" s="2">
        <v>1.2024231584645E+17</v>
      </c>
      <c r="H40" s="2">
        <v>1.2024231584646E+17</v>
      </c>
      <c r="I40" s="2">
        <v>1.202423570912E+17</v>
      </c>
      <c r="J40" s="2" t="s">
        <v>36</v>
      </c>
      <c r="K40" s="4">
        <v>9085</v>
      </c>
      <c r="L40">
        <v>141</v>
      </c>
      <c r="M40">
        <v>669.69</v>
      </c>
      <c r="N40">
        <f t="shared" si="0"/>
        <v>8177</v>
      </c>
      <c r="O40">
        <f t="shared" si="1"/>
        <v>3680</v>
      </c>
      <c r="P40" s="5">
        <f t="shared" si="2"/>
        <v>5996</v>
      </c>
    </row>
    <row r="41" spans="1:20" ht="15.75" thickBot="1" x14ac:dyDescent="0.3">
      <c r="A41" s="3">
        <v>46103</v>
      </c>
      <c r="B41" s="2" t="s">
        <v>19</v>
      </c>
      <c r="C41" s="2" t="s">
        <v>20</v>
      </c>
      <c r="D41" s="2" t="s">
        <v>21</v>
      </c>
      <c r="E41" s="2" t="s">
        <v>22</v>
      </c>
      <c r="F41" s="2">
        <v>1277955380444250</v>
      </c>
      <c r="G41" s="2">
        <v>1.2024229057228E+17</v>
      </c>
      <c r="H41" s="2">
        <v>1.2024229057229E+17</v>
      </c>
      <c r="I41" s="2">
        <v>1.2024229057227E+17</v>
      </c>
      <c r="J41" s="2" t="s">
        <v>23</v>
      </c>
      <c r="K41" s="4">
        <v>6269</v>
      </c>
      <c r="L41">
        <v>99</v>
      </c>
      <c r="M41">
        <v>1880.86</v>
      </c>
      <c r="N41">
        <f t="shared" si="0"/>
        <v>5642</v>
      </c>
      <c r="O41">
        <f t="shared" si="1"/>
        <v>2539</v>
      </c>
      <c r="P41" s="5">
        <f t="shared" si="2"/>
        <v>4138</v>
      </c>
      <c r="S41">
        <v>3394</v>
      </c>
      <c r="T41">
        <v>28</v>
      </c>
    </row>
    <row r="42" spans="1:20" ht="15.75" thickBot="1" x14ac:dyDescent="0.3">
      <c r="A42" s="3">
        <v>46103</v>
      </c>
      <c r="B42" s="2" t="s">
        <v>19</v>
      </c>
      <c r="C42" s="2" t="s">
        <v>20</v>
      </c>
      <c r="D42" s="2" t="s">
        <v>21</v>
      </c>
      <c r="E42" s="2" t="s">
        <v>22</v>
      </c>
      <c r="F42" s="2">
        <v>1277955380444250</v>
      </c>
      <c r="G42" s="2">
        <v>1.2024229057228E+17</v>
      </c>
      <c r="H42" s="2">
        <v>1.2024229057229E+17</v>
      </c>
      <c r="I42" s="2">
        <v>1.2024229057227E+17</v>
      </c>
      <c r="J42" s="2" t="s">
        <v>24</v>
      </c>
      <c r="K42" s="4">
        <v>6673</v>
      </c>
      <c r="L42">
        <v>867</v>
      </c>
      <c r="M42">
        <v>1350.09</v>
      </c>
      <c r="N42">
        <f t="shared" si="0"/>
        <v>6006</v>
      </c>
      <c r="O42">
        <f t="shared" si="1"/>
        <v>2703</v>
      </c>
      <c r="P42" s="5">
        <f t="shared" si="2"/>
        <v>4404</v>
      </c>
      <c r="S42">
        <v>40437</v>
      </c>
      <c r="T42">
        <v>252</v>
      </c>
    </row>
    <row r="43" spans="1:20" ht="15.75" thickBot="1" x14ac:dyDescent="0.3">
      <c r="A43" s="3">
        <v>46103</v>
      </c>
      <c r="B43" s="2" t="s">
        <v>19</v>
      </c>
      <c r="C43" s="2" t="s">
        <v>20</v>
      </c>
      <c r="D43" s="2" t="s">
        <v>34</v>
      </c>
      <c r="E43" s="2" t="s">
        <v>22</v>
      </c>
      <c r="F43" s="2">
        <v>1277955380444250</v>
      </c>
      <c r="G43" s="2">
        <v>1.2024229057228E+17</v>
      </c>
      <c r="H43" s="2">
        <v>1.2024229057229E+17</v>
      </c>
      <c r="I43" s="2">
        <v>1.2024229334046E+17</v>
      </c>
      <c r="J43" s="2" t="s">
        <v>23</v>
      </c>
      <c r="K43" s="4">
        <v>7117</v>
      </c>
      <c r="L43">
        <v>101</v>
      </c>
      <c r="M43">
        <v>1776.57</v>
      </c>
      <c r="N43">
        <f t="shared" si="0"/>
        <v>6405</v>
      </c>
      <c r="O43">
        <f t="shared" si="1"/>
        <v>2882</v>
      </c>
      <c r="P43" s="5">
        <f t="shared" si="2"/>
        <v>4697</v>
      </c>
      <c r="S43">
        <v>8055</v>
      </c>
      <c r="T43">
        <v>33</v>
      </c>
    </row>
    <row r="44" spans="1:20" ht="15.75" thickBot="1" x14ac:dyDescent="0.3">
      <c r="A44" s="3">
        <v>46103</v>
      </c>
      <c r="B44" s="2" t="s">
        <v>19</v>
      </c>
      <c r="C44" s="2" t="s">
        <v>20</v>
      </c>
      <c r="D44" s="2" t="s">
        <v>34</v>
      </c>
      <c r="E44" s="2" t="s">
        <v>22</v>
      </c>
      <c r="F44" s="2">
        <v>1277955380444250</v>
      </c>
      <c r="G44" s="2">
        <v>1.2024229057228E+17</v>
      </c>
      <c r="H44" s="2">
        <v>1.2024229057229E+17</v>
      </c>
      <c r="I44" s="2">
        <v>1.2024229334046E+17</v>
      </c>
      <c r="J44" s="2" t="s">
        <v>24</v>
      </c>
      <c r="K44" s="4">
        <v>3009</v>
      </c>
      <c r="L44">
        <v>186</v>
      </c>
      <c r="M44">
        <v>516.54999999999995</v>
      </c>
      <c r="N44">
        <f t="shared" si="0"/>
        <v>2708</v>
      </c>
      <c r="O44">
        <f t="shared" si="1"/>
        <v>1219</v>
      </c>
      <c r="P44" s="5">
        <f t="shared" si="2"/>
        <v>1986</v>
      </c>
      <c r="S44">
        <v>76265</v>
      </c>
      <c r="T44">
        <v>344</v>
      </c>
    </row>
    <row r="45" spans="1:20" ht="15.75" thickBot="1" x14ac:dyDescent="0.3">
      <c r="A45" s="3">
        <v>46103</v>
      </c>
      <c r="B45" s="2" t="s">
        <v>25</v>
      </c>
      <c r="C45" s="2" t="s">
        <v>26</v>
      </c>
      <c r="D45" s="2" t="s">
        <v>35</v>
      </c>
      <c r="E45" s="2" t="s">
        <v>22</v>
      </c>
      <c r="F45" s="2">
        <v>1277955380444250</v>
      </c>
      <c r="G45" s="2">
        <v>1.2024231584645E+17</v>
      </c>
      <c r="H45" s="2">
        <v>1.2024231618176E+17</v>
      </c>
      <c r="I45" s="2">
        <v>1.2024235726836E+17</v>
      </c>
      <c r="J45" s="2" t="s">
        <v>23</v>
      </c>
      <c r="K45" s="4">
        <v>3428</v>
      </c>
      <c r="L45">
        <v>964</v>
      </c>
      <c r="M45">
        <v>1679.59</v>
      </c>
      <c r="N45">
        <f t="shared" si="0"/>
        <v>3085</v>
      </c>
      <c r="O45">
        <f t="shared" si="1"/>
        <v>1388</v>
      </c>
      <c r="P45" s="5">
        <f t="shared" si="2"/>
        <v>2262</v>
      </c>
      <c r="S45">
        <v>5057</v>
      </c>
      <c r="T45">
        <v>404</v>
      </c>
    </row>
    <row r="46" spans="1:20" ht="15.75" thickBot="1" x14ac:dyDescent="0.3">
      <c r="A46" s="3">
        <v>46103</v>
      </c>
      <c r="B46" s="2" t="s">
        <v>25</v>
      </c>
      <c r="C46" s="2" t="s">
        <v>26</v>
      </c>
      <c r="D46" s="2" t="s">
        <v>35</v>
      </c>
      <c r="E46" s="2" t="s">
        <v>22</v>
      </c>
      <c r="F46" s="2">
        <v>1277955380444250</v>
      </c>
      <c r="G46" s="2">
        <v>1.2024231584645E+17</v>
      </c>
      <c r="H46" s="2">
        <v>1.2024231618176E+17</v>
      </c>
      <c r="I46" s="2">
        <v>1.2024235726836E+17</v>
      </c>
      <c r="J46" s="2" t="s">
        <v>24</v>
      </c>
      <c r="K46" s="4">
        <v>4697</v>
      </c>
      <c r="L46">
        <v>674</v>
      </c>
      <c r="M46">
        <v>738.85</v>
      </c>
      <c r="N46">
        <f t="shared" si="0"/>
        <v>4227</v>
      </c>
      <c r="O46">
        <f t="shared" si="1"/>
        <v>1902</v>
      </c>
      <c r="P46" s="5">
        <f t="shared" si="2"/>
        <v>3100</v>
      </c>
      <c r="S46">
        <v>11196</v>
      </c>
      <c r="T46">
        <v>833</v>
      </c>
    </row>
    <row r="47" spans="1:20" ht="15.75" thickBot="1" x14ac:dyDescent="0.3">
      <c r="A47" s="3">
        <v>46103</v>
      </c>
      <c r="B47" s="2" t="s">
        <v>25</v>
      </c>
      <c r="C47" s="2" t="s">
        <v>26</v>
      </c>
      <c r="D47" s="2" t="s">
        <v>35</v>
      </c>
      <c r="E47" s="2" t="s">
        <v>22</v>
      </c>
      <c r="F47" s="2">
        <v>1277955380444250</v>
      </c>
      <c r="G47" s="2">
        <v>1.2024231584645E+17</v>
      </c>
      <c r="H47" s="2">
        <v>1.2024231618176E+17</v>
      </c>
      <c r="I47" s="2">
        <v>1.2024235726836E+17</v>
      </c>
      <c r="J47" s="2" t="s">
        <v>36</v>
      </c>
      <c r="K47" s="4">
        <v>7462</v>
      </c>
      <c r="L47">
        <v>450</v>
      </c>
      <c r="M47">
        <v>1882.06</v>
      </c>
      <c r="N47">
        <f t="shared" si="0"/>
        <v>6716</v>
      </c>
      <c r="O47">
        <f t="shared" si="1"/>
        <v>3022</v>
      </c>
      <c r="P47" s="5">
        <f t="shared" si="2"/>
        <v>4925</v>
      </c>
      <c r="S47">
        <v>2</v>
      </c>
    </row>
    <row r="48" spans="1:20" ht="15.75" thickBot="1" x14ac:dyDescent="0.3">
      <c r="A48" s="3">
        <v>46103</v>
      </c>
      <c r="B48" s="2" t="s">
        <v>25</v>
      </c>
      <c r="C48" s="2" t="s">
        <v>28</v>
      </c>
      <c r="D48" s="2" t="s">
        <v>37</v>
      </c>
      <c r="E48" s="2" t="s">
        <v>22</v>
      </c>
      <c r="F48" s="2">
        <v>1277955380444250</v>
      </c>
      <c r="G48" s="2">
        <v>1.2024231584645E+17</v>
      </c>
      <c r="H48" s="2">
        <v>1.2024231613167E+17</v>
      </c>
      <c r="I48" s="2">
        <v>1.2024235723042E+17</v>
      </c>
      <c r="J48" s="2" t="s">
        <v>23</v>
      </c>
      <c r="K48" s="4">
        <v>8146</v>
      </c>
      <c r="L48">
        <v>109</v>
      </c>
      <c r="M48">
        <v>626.80999999999995</v>
      </c>
      <c r="N48">
        <f t="shared" si="0"/>
        <v>7331</v>
      </c>
      <c r="O48">
        <f t="shared" si="1"/>
        <v>3299</v>
      </c>
      <c r="P48" s="5">
        <f t="shared" si="2"/>
        <v>5376</v>
      </c>
      <c r="S48">
        <v>699</v>
      </c>
      <c r="T48">
        <v>70</v>
      </c>
    </row>
    <row r="49" spans="1:20" ht="15.75" thickBot="1" x14ac:dyDescent="0.3">
      <c r="A49" s="3">
        <v>46103</v>
      </c>
      <c r="B49" s="2" t="s">
        <v>25</v>
      </c>
      <c r="C49" s="2" t="s">
        <v>28</v>
      </c>
      <c r="D49" s="2" t="s">
        <v>37</v>
      </c>
      <c r="E49" s="2" t="s">
        <v>22</v>
      </c>
      <c r="F49" s="2">
        <v>1277955380444250</v>
      </c>
      <c r="G49" s="2">
        <v>1.2024231584645E+17</v>
      </c>
      <c r="H49" s="2">
        <v>1.2024231613167E+17</v>
      </c>
      <c r="I49" s="2">
        <v>1.2024235723042E+17</v>
      </c>
      <c r="J49" s="2" t="s">
        <v>24</v>
      </c>
      <c r="K49" s="4">
        <v>1204</v>
      </c>
      <c r="L49">
        <v>693</v>
      </c>
      <c r="M49">
        <v>321.16000000000003</v>
      </c>
      <c r="N49">
        <f t="shared" si="0"/>
        <v>1084</v>
      </c>
      <c r="O49">
        <f t="shared" si="1"/>
        <v>488</v>
      </c>
      <c r="P49" s="5">
        <f t="shared" si="2"/>
        <v>795</v>
      </c>
      <c r="S49">
        <v>6646</v>
      </c>
      <c r="T49">
        <v>422</v>
      </c>
    </row>
    <row r="50" spans="1:20" ht="15.75" thickBot="1" x14ac:dyDescent="0.3">
      <c r="A50" s="3">
        <v>46103</v>
      </c>
      <c r="B50" s="2" t="s">
        <v>25</v>
      </c>
      <c r="C50" s="2" t="s">
        <v>30</v>
      </c>
      <c r="D50" s="2" t="s">
        <v>38</v>
      </c>
      <c r="E50" s="2" t="s">
        <v>22</v>
      </c>
      <c r="F50" s="2">
        <v>1277955380444250</v>
      </c>
      <c r="G50" s="2">
        <v>1.2024231584645E+17</v>
      </c>
      <c r="H50" s="2">
        <v>1.2024231592817E+17</v>
      </c>
      <c r="I50" s="2">
        <v>1.202423571795E+17</v>
      </c>
      <c r="J50" s="2" t="s">
        <v>23</v>
      </c>
      <c r="K50" s="4">
        <v>1937</v>
      </c>
      <c r="L50">
        <v>841</v>
      </c>
      <c r="M50">
        <v>968.76</v>
      </c>
      <c r="N50">
        <f t="shared" si="0"/>
        <v>1743</v>
      </c>
      <c r="O50">
        <f t="shared" si="1"/>
        <v>784</v>
      </c>
      <c r="P50" s="5">
        <f t="shared" si="2"/>
        <v>1278</v>
      </c>
      <c r="S50">
        <v>4083</v>
      </c>
      <c r="T50">
        <v>434</v>
      </c>
    </row>
    <row r="51" spans="1:20" ht="15.75" thickBot="1" x14ac:dyDescent="0.3">
      <c r="A51" s="3">
        <v>46103</v>
      </c>
      <c r="B51" s="2" t="s">
        <v>25</v>
      </c>
      <c r="C51" s="2" t="s">
        <v>30</v>
      </c>
      <c r="D51" s="2" t="s">
        <v>38</v>
      </c>
      <c r="E51" s="2" t="s">
        <v>22</v>
      </c>
      <c r="F51" s="2">
        <v>1277955380444250</v>
      </c>
      <c r="G51" s="2">
        <v>1.2024231584645E+17</v>
      </c>
      <c r="H51" s="2">
        <v>1.2024231592817E+17</v>
      </c>
      <c r="I51" s="2">
        <v>1.202423571795E+17</v>
      </c>
      <c r="J51" s="2" t="s">
        <v>24</v>
      </c>
      <c r="K51" s="4">
        <v>4147</v>
      </c>
      <c r="L51">
        <v>73</v>
      </c>
      <c r="M51">
        <v>1609.75</v>
      </c>
      <c r="N51">
        <f t="shared" si="0"/>
        <v>3732</v>
      </c>
      <c r="O51">
        <f t="shared" si="1"/>
        <v>1679</v>
      </c>
      <c r="P51" s="5">
        <f t="shared" si="2"/>
        <v>2737</v>
      </c>
      <c r="S51">
        <v>18745</v>
      </c>
      <c r="T51">
        <v>1123</v>
      </c>
    </row>
    <row r="52" spans="1:20" ht="15.75" thickBot="1" x14ac:dyDescent="0.3">
      <c r="A52" s="3">
        <v>46103</v>
      </c>
      <c r="B52" s="2" t="s">
        <v>25</v>
      </c>
      <c r="C52" s="2" t="s">
        <v>30</v>
      </c>
      <c r="D52" s="2" t="s">
        <v>38</v>
      </c>
      <c r="E52" s="2" t="s">
        <v>22</v>
      </c>
      <c r="F52" s="2">
        <v>1277955380444250</v>
      </c>
      <c r="G52" s="2">
        <v>1.2024231584645E+17</v>
      </c>
      <c r="H52" s="2">
        <v>1.2024231592817E+17</v>
      </c>
      <c r="I52" s="2">
        <v>1.202423571795E+17</v>
      </c>
      <c r="J52" s="2" t="s">
        <v>36</v>
      </c>
      <c r="K52" s="4">
        <v>8909</v>
      </c>
      <c r="L52">
        <v>280</v>
      </c>
      <c r="M52">
        <v>1044.83</v>
      </c>
      <c r="N52">
        <f t="shared" si="0"/>
        <v>8018</v>
      </c>
      <c r="O52">
        <f t="shared" si="1"/>
        <v>3608</v>
      </c>
      <c r="P52" s="5">
        <f t="shared" si="2"/>
        <v>5880</v>
      </c>
      <c r="S52">
        <v>1</v>
      </c>
    </row>
    <row r="53" spans="1:20" ht="15.75" thickBot="1" x14ac:dyDescent="0.3">
      <c r="A53" s="3">
        <v>46103</v>
      </c>
      <c r="B53" s="2" t="s">
        <v>25</v>
      </c>
      <c r="C53" s="2" t="s">
        <v>32</v>
      </c>
      <c r="D53" s="2" t="s">
        <v>39</v>
      </c>
      <c r="E53" s="2" t="s">
        <v>22</v>
      </c>
      <c r="F53" s="2">
        <v>1277955380444250</v>
      </c>
      <c r="G53" s="2">
        <v>1.2024231584645E+17</v>
      </c>
      <c r="H53" s="2">
        <v>1.2024231584646E+17</v>
      </c>
      <c r="I53" s="2">
        <v>1.202423570912E+17</v>
      </c>
      <c r="J53" s="2" t="s">
        <v>23</v>
      </c>
      <c r="K53" s="4">
        <v>5787</v>
      </c>
      <c r="L53">
        <v>899</v>
      </c>
      <c r="M53">
        <v>1981.99</v>
      </c>
      <c r="N53">
        <f t="shared" si="0"/>
        <v>5208</v>
      </c>
      <c r="O53">
        <f t="shared" si="1"/>
        <v>2344</v>
      </c>
      <c r="P53" s="5">
        <f t="shared" si="2"/>
        <v>3819</v>
      </c>
    </row>
    <row r="54" spans="1:20" ht="15.75" thickBot="1" x14ac:dyDescent="0.3">
      <c r="A54" s="3">
        <v>46103</v>
      </c>
      <c r="B54" s="2" t="s">
        <v>25</v>
      </c>
      <c r="C54" s="2" t="s">
        <v>32</v>
      </c>
      <c r="D54" s="2" t="s">
        <v>39</v>
      </c>
      <c r="E54" s="2" t="s">
        <v>22</v>
      </c>
      <c r="F54" s="2">
        <v>1277955380444250</v>
      </c>
      <c r="G54" s="2">
        <v>1.2024231584645E+17</v>
      </c>
      <c r="H54" s="2">
        <v>1.2024231584646E+17</v>
      </c>
      <c r="I54" s="2">
        <v>1.202423570912E+17</v>
      </c>
      <c r="J54" s="2" t="s">
        <v>24</v>
      </c>
      <c r="K54" s="4">
        <v>5459</v>
      </c>
      <c r="L54">
        <v>114</v>
      </c>
      <c r="M54">
        <v>221.35</v>
      </c>
      <c r="N54">
        <f t="shared" si="0"/>
        <v>4913</v>
      </c>
      <c r="O54">
        <f t="shared" si="1"/>
        <v>2211</v>
      </c>
      <c r="P54" s="5">
        <f t="shared" si="2"/>
        <v>3603</v>
      </c>
    </row>
    <row r="55" spans="1:20" ht="15.75" thickBot="1" x14ac:dyDescent="0.3">
      <c r="A55" s="3">
        <v>46104</v>
      </c>
      <c r="B55" s="2" t="s">
        <v>19</v>
      </c>
      <c r="C55" s="2" t="s">
        <v>20</v>
      </c>
      <c r="D55" s="2" t="s">
        <v>21</v>
      </c>
      <c r="E55" s="2" t="s">
        <v>22</v>
      </c>
      <c r="F55" s="2">
        <v>1277955380444250</v>
      </c>
      <c r="G55" s="2">
        <v>1.2024229057228E+17</v>
      </c>
      <c r="H55" s="2">
        <v>1.2024229057229E+17</v>
      </c>
      <c r="I55" s="2">
        <v>1.2024229057227E+17</v>
      </c>
      <c r="J55" s="2" t="s">
        <v>23</v>
      </c>
      <c r="K55" s="4">
        <v>9148</v>
      </c>
      <c r="L55">
        <v>258</v>
      </c>
      <c r="M55">
        <v>896.74</v>
      </c>
      <c r="N55">
        <f t="shared" si="0"/>
        <v>8233</v>
      </c>
      <c r="O55">
        <f t="shared" si="1"/>
        <v>3705</v>
      </c>
      <c r="P55" s="5">
        <f t="shared" si="2"/>
        <v>6038</v>
      </c>
      <c r="S55">
        <v>392</v>
      </c>
      <c r="T55">
        <v>8</v>
      </c>
    </row>
    <row r="56" spans="1:20" ht="15.75" thickBot="1" x14ac:dyDescent="0.3">
      <c r="A56" s="3">
        <v>46104</v>
      </c>
      <c r="B56" s="2" t="s">
        <v>19</v>
      </c>
      <c r="C56" s="2" t="s">
        <v>20</v>
      </c>
      <c r="D56" s="2" t="s">
        <v>21</v>
      </c>
      <c r="E56" s="2" t="s">
        <v>22</v>
      </c>
      <c r="F56" s="2">
        <v>1277955380444250</v>
      </c>
      <c r="G56" s="2">
        <v>1.2024229057228E+17</v>
      </c>
      <c r="H56" s="2">
        <v>1.2024229057229E+17</v>
      </c>
      <c r="I56" s="2">
        <v>1.2024229057227E+17</v>
      </c>
      <c r="J56" s="2" t="s">
        <v>24</v>
      </c>
      <c r="K56" s="4">
        <v>4627</v>
      </c>
      <c r="L56">
        <v>171</v>
      </c>
      <c r="M56">
        <v>873.67</v>
      </c>
      <c r="N56">
        <f t="shared" si="0"/>
        <v>4164</v>
      </c>
      <c r="O56">
        <f t="shared" si="1"/>
        <v>1874</v>
      </c>
      <c r="P56" s="5">
        <f t="shared" si="2"/>
        <v>3054</v>
      </c>
      <c r="S56">
        <v>49880</v>
      </c>
      <c r="T56">
        <v>177</v>
      </c>
    </row>
    <row r="57" spans="1:20" ht="15.75" thickBot="1" x14ac:dyDescent="0.3">
      <c r="A57" s="3">
        <v>46104</v>
      </c>
      <c r="B57" s="2" t="s">
        <v>19</v>
      </c>
      <c r="C57" s="2" t="s">
        <v>20</v>
      </c>
      <c r="D57" s="2" t="s">
        <v>34</v>
      </c>
      <c r="E57" s="2" t="s">
        <v>22</v>
      </c>
      <c r="F57" s="2">
        <v>1277955380444250</v>
      </c>
      <c r="G57" s="2">
        <v>1.2024229057228E+17</v>
      </c>
      <c r="H57" s="2">
        <v>1.2024229057229E+17</v>
      </c>
      <c r="I57" s="2">
        <v>1.2024229334046E+17</v>
      </c>
      <c r="J57" s="2" t="s">
        <v>23</v>
      </c>
      <c r="K57" s="4">
        <v>2383</v>
      </c>
      <c r="L57">
        <v>269</v>
      </c>
      <c r="M57">
        <v>631.94000000000005</v>
      </c>
      <c r="N57">
        <f t="shared" si="0"/>
        <v>2145</v>
      </c>
      <c r="O57">
        <f t="shared" si="1"/>
        <v>965</v>
      </c>
      <c r="P57" s="5">
        <f t="shared" si="2"/>
        <v>1573</v>
      </c>
      <c r="S57">
        <v>323</v>
      </c>
      <c r="T57">
        <v>1</v>
      </c>
    </row>
    <row r="58" spans="1:20" ht="15.75" thickBot="1" x14ac:dyDescent="0.3">
      <c r="A58" s="3">
        <v>46104</v>
      </c>
      <c r="B58" s="2" t="s">
        <v>19</v>
      </c>
      <c r="C58" s="2" t="s">
        <v>20</v>
      </c>
      <c r="D58" s="2" t="s">
        <v>34</v>
      </c>
      <c r="E58" s="2" t="s">
        <v>22</v>
      </c>
      <c r="F58" s="2">
        <v>1277955380444250</v>
      </c>
      <c r="G58" s="2">
        <v>1.2024229057228E+17</v>
      </c>
      <c r="H58" s="2">
        <v>1.2024229057229E+17</v>
      </c>
      <c r="I58" s="2">
        <v>1.2024229334046E+17</v>
      </c>
      <c r="J58" s="2" t="s">
        <v>24</v>
      </c>
      <c r="K58" s="4">
        <v>9366</v>
      </c>
      <c r="L58">
        <v>379</v>
      </c>
      <c r="M58">
        <v>1845.61</v>
      </c>
      <c r="N58">
        <f t="shared" si="0"/>
        <v>8429</v>
      </c>
      <c r="O58">
        <f t="shared" si="1"/>
        <v>3793</v>
      </c>
      <c r="P58" s="5">
        <f t="shared" si="2"/>
        <v>6182</v>
      </c>
      <c r="S58">
        <v>128273</v>
      </c>
      <c r="T58">
        <v>548</v>
      </c>
    </row>
    <row r="59" spans="1:20" ht="15.75" thickBot="1" x14ac:dyDescent="0.3">
      <c r="A59" s="3">
        <v>46104</v>
      </c>
      <c r="B59" s="2" t="s">
        <v>25</v>
      </c>
      <c r="C59" s="2" t="s">
        <v>26</v>
      </c>
      <c r="D59" s="2" t="s">
        <v>35</v>
      </c>
      <c r="E59" s="2" t="s">
        <v>22</v>
      </c>
      <c r="F59" s="2">
        <v>1277955380444250</v>
      </c>
      <c r="G59" s="2">
        <v>1.2024231584645E+17</v>
      </c>
      <c r="H59" s="2">
        <v>1.2024231618176E+17</v>
      </c>
      <c r="I59" s="2">
        <v>1.2024235726836E+17</v>
      </c>
      <c r="J59" s="2" t="s">
        <v>23</v>
      </c>
      <c r="K59" s="4">
        <v>5848</v>
      </c>
      <c r="L59">
        <v>216</v>
      </c>
      <c r="M59">
        <v>328.34</v>
      </c>
      <c r="N59">
        <f t="shared" si="0"/>
        <v>5263</v>
      </c>
      <c r="O59">
        <f t="shared" si="1"/>
        <v>2368</v>
      </c>
      <c r="P59" s="5">
        <f t="shared" si="2"/>
        <v>3860</v>
      </c>
      <c r="S59">
        <v>5724</v>
      </c>
      <c r="T59">
        <v>412</v>
      </c>
    </row>
    <row r="60" spans="1:20" ht="15.75" thickBot="1" x14ac:dyDescent="0.3">
      <c r="A60" s="3">
        <v>46104</v>
      </c>
      <c r="B60" s="2" t="s">
        <v>25</v>
      </c>
      <c r="C60" s="2" t="s">
        <v>26</v>
      </c>
      <c r="D60" s="2" t="s">
        <v>35</v>
      </c>
      <c r="E60" s="2" t="s">
        <v>22</v>
      </c>
      <c r="F60" s="2">
        <v>1277955380444250</v>
      </c>
      <c r="G60" s="2">
        <v>1.2024231584645E+17</v>
      </c>
      <c r="H60" s="2">
        <v>1.2024231618176E+17</v>
      </c>
      <c r="I60" s="2">
        <v>1.2024235726836E+17</v>
      </c>
      <c r="J60" s="2" t="s">
        <v>24</v>
      </c>
      <c r="K60" s="4">
        <v>8942</v>
      </c>
      <c r="L60">
        <v>415</v>
      </c>
      <c r="M60">
        <v>114.38</v>
      </c>
      <c r="N60">
        <f t="shared" si="0"/>
        <v>8048</v>
      </c>
      <c r="O60">
        <f t="shared" si="1"/>
        <v>3622</v>
      </c>
      <c r="P60" s="5">
        <f t="shared" si="2"/>
        <v>5902</v>
      </c>
      <c r="S60">
        <v>6459</v>
      </c>
      <c r="T60">
        <v>499</v>
      </c>
    </row>
    <row r="61" spans="1:20" ht="15.75" thickBot="1" x14ac:dyDescent="0.3">
      <c r="A61" s="3">
        <v>46104</v>
      </c>
      <c r="B61" s="2" t="s">
        <v>25</v>
      </c>
      <c r="C61" s="2" t="s">
        <v>40</v>
      </c>
      <c r="D61" s="2" t="s">
        <v>41</v>
      </c>
      <c r="E61" s="2" t="s">
        <v>22</v>
      </c>
      <c r="F61" s="2">
        <v>1277955380444250</v>
      </c>
      <c r="G61" s="2">
        <v>1.2024231584645E+17</v>
      </c>
      <c r="H61" s="2">
        <v>1.2024246508913E+17</v>
      </c>
      <c r="I61" s="2">
        <v>1.2024246508915E+17</v>
      </c>
      <c r="J61" s="2" t="s">
        <v>23</v>
      </c>
      <c r="K61" s="4">
        <v>2247</v>
      </c>
      <c r="L61">
        <v>445</v>
      </c>
      <c r="M61">
        <v>1973.61</v>
      </c>
      <c r="N61">
        <f t="shared" si="0"/>
        <v>2022</v>
      </c>
      <c r="O61">
        <f t="shared" si="1"/>
        <v>910</v>
      </c>
      <c r="P61" s="5">
        <f t="shared" si="2"/>
        <v>1483</v>
      </c>
    </row>
    <row r="62" spans="1:20" ht="15.75" thickBot="1" x14ac:dyDescent="0.3">
      <c r="A62" s="3">
        <v>46104</v>
      </c>
      <c r="B62" s="2" t="s">
        <v>25</v>
      </c>
      <c r="C62" s="2" t="s">
        <v>40</v>
      </c>
      <c r="D62" s="2" t="s">
        <v>41</v>
      </c>
      <c r="E62" s="2" t="s">
        <v>22</v>
      </c>
      <c r="F62" s="2">
        <v>1277955380444250</v>
      </c>
      <c r="G62" s="2">
        <v>1.2024231584645E+17</v>
      </c>
      <c r="H62" s="2">
        <v>1.2024246508913E+17</v>
      </c>
      <c r="I62" s="2">
        <v>1.2024246508915E+17</v>
      </c>
      <c r="J62" s="2" t="s">
        <v>24</v>
      </c>
      <c r="K62" s="4">
        <v>8454</v>
      </c>
      <c r="L62">
        <v>478</v>
      </c>
      <c r="M62">
        <v>1392.3</v>
      </c>
      <c r="N62">
        <f t="shared" si="0"/>
        <v>7609</v>
      </c>
      <c r="O62">
        <f t="shared" si="1"/>
        <v>3424</v>
      </c>
      <c r="P62" s="5">
        <f t="shared" si="2"/>
        <v>5580</v>
      </c>
    </row>
    <row r="63" spans="1:20" ht="15.75" thickBot="1" x14ac:dyDescent="0.3">
      <c r="A63" s="3">
        <v>46104</v>
      </c>
      <c r="B63" s="2" t="s">
        <v>25</v>
      </c>
      <c r="C63" s="2" t="s">
        <v>40</v>
      </c>
      <c r="D63" s="2" t="s">
        <v>42</v>
      </c>
      <c r="E63" s="2" t="s">
        <v>22</v>
      </c>
      <c r="F63" s="2">
        <v>1277955380444250</v>
      </c>
      <c r="G63" s="2">
        <v>1.2024231584645E+17</v>
      </c>
      <c r="H63" s="2">
        <v>1.2024246508913E+17</v>
      </c>
      <c r="I63" s="2">
        <v>1.2024246532294E+17</v>
      </c>
      <c r="J63" s="2" t="s">
        <v>23</v>
      </c>
      <c r="K63" s="4">
        <v>3144</v>
      </c>
      <c r="L63">
        <v>988</v>
      </c>
      <c r="M63">
        <v>1920.87</v>
      </c>
      <c r="N63">
        <f t="shared" si="0"/>
        <v>2830</v>
      </c>
      <c r="O63">
        <f t="shared" si="1"/>
        <v>1274</v>
      </c>
      <c r="P63" s="5">
        <f t="shared" si="2"/>
        <v>2075</v>
      </c>
    </row>
    <row r="64" spans="1:20" ht="15.75" thickBot="1" x14ac:dyDescent="0.3">
      <c r="A64" s="3">
        <v>46104</v>
      </c>
      <c r="B64" s="2" t="s">
        <v>25</v>
      </c>
      <c r="C64" s="2" t="s">
        <v>40</v>
      </c>
      <c r="D64" s="2" t="s">
        <v>42</v>
      </c>
      <c r="E64" s="2" t="s">
        <v>22</v>
      </c>
      <c r="F64" s="2">
        <v>1277955380444250</v>
      </c>
      <c r="G64" s="2">
        <v>1.2024231584645E+17</v>
      </c>
      <c r="H64" s="2">
        <v>1.2024246508913E+17</v>
      </c>
      <c r="I64" s="2">
        <v>1.2024246532294E+17</v>
      </c>
      <c r="J64" s="2" t="s">
        <v>24</v>
      </c>
      <c r="K64" s="4">
        <v>4890</v>
      </c>
      <c r="L64">
        <v>124</v>
      </c>
      <c r="M64">
        <v>1411.17</v>
      </c>
      <c r="N64">
        <f t="shared" si="0"/>
        <v>4401</v>
      </c>
      <c r="O64">
        <f t="shared" si="1"/>
        <v>1980</v>
      </c>
      <c r="P64" s="5">
        <f t="shared" si="2"/>
        <v>3227</v>
      </c>
    </row>
    <row r="65" spans="1:20" ht="15.75" thickBot="1" x14ac:dyDescent="0.3">
      <c r="A65" s="3">
        <v>46104</v>
      </c>
      <c r="B65" s="2" t="s">
        <v>25</v>
      </c>
      <c r="C65" s="2" t="s">
        <v>28</v>
      </c>
      <c r="D65" s="2" t="s">
        <v>37</v>
      </c>
      <c r="E65" s="2" t="s">
        <v>22</v>
      </c>
      <c r="F65" s="2">
        <v>1277955380444250</v>
      </c>
      <c r="G65" s="2">
        <v>1.2024231584645E+17</v>
      </c>
      <c r="H65" s="2">
        <v>1.2024231613167E+17</v>
      </c>
      <c r="I65" s="2">
        <v>1.2024235723042E+17</v>
      </c>
      <c r="J65" s="2" t="s">
        <v>23</v>
      </c>
      <c r="K65" s="4">
        <v>8940</v>
      </c>
      <c r="L65">
        <v>891</v>
      </c>
      <c r="M65">
        <v>780.83</v>
      </c>
      <c r="N65">
        <f t="shared" si="0"/>
        <v>8046</v>
      </c>
      <c r="O65">
        <f t="shared" si="1"/>
        <v>3621</v>
      </c>
      <c r="P65" s="5">
        <f t="shared" si="2"/>
        <v>5900</v>
      </c>
      <c r="S65">
        <v>2117</v>
      </c>
      <c r="T65">
        <v>228</v>
      </c>
    </row>
    <row r="66" spans="1:20" ht="15.75" thickBot="1" x14ac:dyDescent="0.3">
      <c r="A66" s="3">
        <v>46104</v>
      </c>
      <c r="B66" s="2" t="s">
        <v>25</v>
      </c>
      <c r="C66" s="2" t="s">
        <v>28</v>
      </c>
      <c r="D66" s="2" t="s">
        <v>37</v>
      </c>
      <c r="E66" s="2" t="s">
        <v>22</v>
      </c>
      <c r="F66" s="2">
        <v>1277955380444250</v>
      </c>
      <c r="G66" s="2">
        <v>1.2024231584645E+17</v>
      </c>
      <c r="H66" s="2">
        <v>1.2024231613167E+17</v>
      </c>
      <c r="I66" s="2">
        <v>1.2024235723042E+17</v>
      </c>
      <c r="J66" s="2" t="s">
        <v>24</v>
      </c>
      <c r="K66" s="4">
        <v>5095</v>
      </c>
      <c r="L66">
        <v>288</v>
      </c>
      <c r="M66">
        <v>1758.1</v>
      </c>
      <c r="N66">
        <f t="shared" si="0"/>
        <v>4586</v>
      </c>
      <c r="O66">
        <f t="shared" si="1"/>
        <v>2064</v>
      </c>
      <c r="P66" s="5">
        <f t="shared" si="2"/>
        <v>3363</v>
      </c>
      <c r="S66">
        <v>6307</v>
      </c>
      <c r="T66">
        <v>392</v>
      </c>
    </row>
    <row r="67" spans="1:20" ht="15.75" thickBot="1" x14ac:dyDescent="0.3">
      <c r="A67" s="3">
        <v>46104</v>
      </c>
      <c r="B67" s="2" t="s">
        <v>25</v>
      </c>
      <c r="C67" s="2" t="s">
        <v>30</v>
      </c>
      <c r="D67" s="2" t="s">
        <v>38</v>
      </c>
      <c r="E67" s="2" t="s">
        <v>22</v>
      </c>
      <c r="F67" s="2">
        <v>1277955380444250</v>
      </c>
      <c r="G67" s="2">
        <v>1.2024231584645E+17</v>
      </c>
      <c r="H67" s="2">
        <v>1.2024231592817E+17</v>
      </c>
      <c r="I67" s="2">
        <v>1.202423571795E+17</v>
      </c>
      <c r="J67" s="2" t="s">
        <v>23</v>
      </c>
      <c r="K67" s="4">
        <v>7033</v>
      </c>
      <c r="L67">
        <v>86</v>
      </c>
      <c r="M67">
        <v>461.06</v>
      </c>
      <c r="N67">
        <f t="shared" ref="N67:N130" si="3">ROUND(K67*0.9,0)</f>
        <v>6330</v>
      </c>
      <c r="O67">
        <f t="shared" ref="O67:O130" si="4">ROUND(N67*0.45,0)</f>
        <v>2849</v>
      </c>
      <c r="P67" s="5">
        <f t="shared" ref="P67:P130" si="5">ROUND(K67*0.66,0)</f>
        <v>4642</v>
      </c>
      <c r="S67">
        <v>4902</v>
      </c>
      <c r="T67">
        <v>490</v>
      </c>
    </row>
    <row r="68" spans="1:20" ht="15.75" thickBot="1" x14ac:dyDescent="0.3">
      <c r="A68" s="3">
        <v>46104</v>
      </c>
      <c r="B68" s="2" t="s">
        <v>25</v>
      </c>
      <c r="C68" s="2" t="s">
        <v>30</v>
      </c>
      <c r="D68" s="2" t="s">
        <v>38</v>
      </c>
      <c r="E68" s="2" t="s">
        <v>22</v>
      </c>
      <c r="F68" s="2">
        <v>1277955380444250</v>
      </c>
      <c r="G68" s="2">
        <v>1.2024231584645E+17</v>
      </c>
      <c r="H68" s="2">
        <v>1.2024231592817E+17</v>
      </c>
      <c r="I68" s="2">
        <v>1.202423571795E+17</v>
      </c>
      <c r="J68" s="2" t="s">
        <v>24</v>
      </c>
      <c r="K68" s="4">
        <v>6750</v>
      </c>
      <c r="L68">
        <v>949</v>
      </c>
      <c r="M68">
        <v>1329.01</v>
      </c>
      <c r="N68">
        <f t="shared" si="3"/>
        <v>6075</v>
      </c>
      <c r="O68">
        <f t="shared" si="4"/>
        <v>2734</v>
      </c>
      <c r="P68" s="5">
        <f t="shared" si="5"/>
        <v>4455</v>
      </c>
      <c r="S68">
        <v>10807</v>
      </c>
      <c r="T68">
        <v>632</v>
      </c>
    </row>
    <row r="69" spans="1:20" ht="15.75" thickBot="1" x14ac:dyDescent="0.3">
      <c r="A69" s="3">
        <v>46104</v>
      </c>
      <c r="B69" s="2" t="s">
        <v>25</v>
      </c>
      <c r="C69" s="2" t="s">
        <v>32</v>
      </c>
      <c r="D69" s="2" t="s">
        <v>39</v>
      </c>
      <c r="E69" s="2" t="s">
        <v>22</v>
      </c>
      <c r="F69" s="2">
        <v>1277955380444250</v>
      </c>
      <c r="G69" s="2">
        <v>1.2024231584645E+17</v>
      </c>
      <c r="H69" s="2">
        <v>1.2024231584646E+17</v>
      </c>
      <c r="I69" s="2">
        <v>1.202423570912E+17</v>
      </c>
      <c r="J69" s="2" t="s">
        <v>23</v>
      </c>
      <c r="K69" s="4">
        <v>6396</v>
      </c>
      <c r="L69">
        <v>396</v>
      </c>
      <c r="M69">
        <v>347.64</v>
      </c>
      <c r="N69">
        <f t="shared" si="3"/>
        <v>5756</v>
      </c>
      <c r="O69">
        <f t="shared" si="4"/>
        <v>2590</v>
      </c>
      <c r="P69" s="5">
        <f t="shared" si="5"/>
        <v>4221</v>
      </c>
    </row>
    <row r="70" spans="1:20" ht="15.75" thickBot="1" x14ac:dyDescent="0.3">
      <c r="A70" s="3">
        <v>46104</v>
      </c>
      <c r="B70" s="2" t="s">
        <v>25</v>
      </c>
      <c r="C70" s="2" t="s">
        <v>32</v>
      </c>
      <c r="D70" s="2" t="s">
        <v>39</v>
      </c>
      <c r="E70" s="2" t="s">
        <v>22</v>
      </c>
      <c r="F70" s="2">
        <v>1277955380444250</v>
      </c>
      <c r="G70" s="2">
        <v>1.2024231584645E+17</v>
      </c>
      <c r="H70" s="2">
        <v>1.2024231584646E+17</v>
      </c>
      <c r="I70" s="2">
        <v>1.202423570912E+17</v>
      </c>
      <c r="J70" s="2" t="s">
        <v>24</v>
      </c>
      <c r="K70" s="4">
        <v>2738</v>
      </c>
      <c r="L70">
        <v>847</v>
      </c>
      <c r="M70">
        <v>273.8</v>
      </c>
      <c r="N70">
        <f t="shared" si="3"/>
        <v>2464</v>
      </c>
      <c r="O70">
        <f t="shared" si="4"/>
        <v>1109</v>
      </c>
      <c r="P70" s="5">
        <f t="shared" si="5"/>
        <v>1807</v>
      </c>
    </row>
    <row r="71" spans="1:20" ht="15.75" thickBot="1" x14ac:dyDescent="0.3">
      <c r="A71" s="3">
        <v>46105</v>
      </c>
      <c r="B71" s="2" t="s">
        <v>19</v>
      </c>
      <c r="C71" s="2" t="s">
        <v>20</v>
      </c>
      <c r="D71" s="2" t="s">
        <v>21</v>
      </c>
      <c r="E71" s="2" t="s">
        <v>22</v>
      </c>
      <c r="F71" s="2">
        <v>1277955380444250</v>
      </c>
      <c r="G71" s="2">
        <v>1.2024229057228E+17</v>
      </c>
      <c r="H71" s="2">
        <v>1.2024229057229E+17</v>
      </c>
      <c r="I71" s="2">
        <v>1.2024229057227E+17</v>
      </c>
      <c r="J71" s="2" t="s">
        <v>23</v>
      </c>
      <c r="K71" s="4">
        <v>6134</v>
      </c>
      <c r="L71">
        <v>972</v>
      </c>
      <c r="M71">
        <v>1826.11</v>
      </c>
      <c r="N71">
        <f t="shared" si="3"/>
        <v>5521</v>
      </c>
      <c r="O71">
        <f t="shared" si="4"/>
        <v>2484</v>
      </c>
      <c r="P71" s="5">
        <f t="shared" si="5"/>
        <v>4048</v>
      </c>
      <c r="S71">
        <v>927</v>
      </c>
      <c r="T71">
        <v>17</v>
      </c>
    </row>
    <row r="72" spans="1:20" ht="15.75" thickBot="1" x14ac:dyDescent="0.3">
      <c r="A72" s="3">
        <v>46105</v>
      </c>
      <c r="B72" s="2" t="s">
        <v>19</v>
      </c>
      <c r="C72" s="2" t="s">
        <v>20</v>
      </c>
      <c r="D72" s="2" t="s">
        <v>21</v>
      </c>
      <c r="E72" s="2" t="s">
        <v>22</v>
      </c>
      <c r="F72" s="2">
        <v>1277955380444250</v>
      </c>
      <c r="G72" s="2">
        <v>1.2024229057228E+17</v>
      </c>
      <c r="H72" s="2">
        <v>1.2024229057229E+17</v>
      </c>
      <c r="I72" s="2">
        <v>1.2024229057227E+17</v>
      </c>
      <c r="J72" s="2" t="s">
        <v>24</v>
      </c>
      <c r="K72" s="4">
        <v>1025</v>
      </c>
      <c r="L72">
        <v>566</v>
      </c>
      <c r="M72">
        <v>806.01</v>
      </c>
      <c r="N72">
        <f t="shared" si="3"/>
        <v>923</v>
      </c>
      <c r="O72">
        <f t="shared" si="4"/>
        <v>415</v>
      </c>
      <c r="P72" s="5">
        <f t="shared" si="5"/>
        <v>677</v>
      </c>
      <c r="S72">
        <v>51736</v>
      </c>
      <c r="T72">
        <v>171</v>
      </c>
    </row>
    <row r="73" spans="1:20" ht="15.75" thickBot="1" x14ac:dyDescent="0.3">
      <c r="A73" s="3">
        <v>46105</v>
      </c>
      <c r="B73" s="2" t="s">
        <v>19</v>
      </c>
      <c r="C73" s="2" t="s">
        <v>20</v>
      </c>
      <c r="D73" s="2" t="s">
        <v>34</v>
      </c>
      <c r="E73" s="2" t="s">
        <v>22</v>
      </c>
      <c r="F73" s="2">
        <v>1277955380444250</v>
      </c>
      <c r="G73" s="2">
        <v>1.2024229057228E+17</v>
      </c>
      <c r="H73" s="2">
        <v>1.2024229057229E+17</v>
      </c>
      <c r="I73" s="2">
        <v>1.2024229334046E+17</v>
      </c>
      <c r="J73" s="2" t="s">
        <v>23</v>
      </c>
      <c r="K73" s="4">
        <v>9769</v>
      </c>
      <c r="L73">
        <v>821</v>
      </c>
      <c r="M73">
        <v>750.33</v>
      </c>
      <c r="N73">
        <f t="shared" si="3"/>
        <v>8792</v>
      </c>
      <c r="O73">
        <f t="shared" si="4"/>
        <v>3956</v>
      </c>
      <c r="P73" s="5">
        <f t="shared" si="5"/>
        <v>6448</v>
      </c>
      <c r="S73">
        <v>2462</v>
      </c>
      <c r="T73">
        <v>7</v>
      </c>
    </row>
    <row r="74" spans="1:20" ht="15.75" thickBot="1" x14ac:dyDescent="0.3">
      <c r="A74" s="3">
        <v>46105</v>
      </c>
      <c r="B74" s="2" t="s">
        <v>19</v>
      </c>
      <c r="C74" s="2" t="s">
        <v>20</v>
      </c>
      <c r="D74" s="2" t="s">
        <v>34</v>
      </c>
      <c r="E74" s="2" t="s">
        <v>22</v>
      </c>
      <c r="F74" s="2">
        <v>1277955380444250</v>
      </c>
      <c r="G74" s="2">
        <v>1.2024229057228E+17</v>
      </c>
      <c r="H74" s="2">
        <v>1.2024229057229E+17</v>
      </c>
      <c r="I74" s="2">
        <v>1.2024229334046E+17</v>
      </c>
      <c r="J74" s="2" t="s">
        <v>24</v>
      </c>
      <c r="K74" s="4">
        <v>8618</v>
      </c>
      <c r="L74">
        <v>221</v>
      </c>
      <c r="M74">
        <v>1778.13</v>
      </c>
      <c r="N74">
        <f t="shared" si="3"/>
        <v>7756</v>
      </c>
      <c r="O74">
        <f t="shared" si="4"/>
        <v>3490</v>
      </c>
      <c r="P74" s="5">
        <f t="shared" si="5"/>
        <v>5688</v>
      </c>
      <c r="S74">
        <v>118708</v>
      </c>
      <c r="T74">
        <v>446</v>
      </c>
    </row>
    <row r="75" spans="1:20" ht="15.75" thickBot="1" x14ac:dyDescent="0.3">
      <c r="A75" s="3">
        <v>46105</v>
      </c>
      <c r="B75" s="2" t="s">
        <v>25</v>
      </c>
      <c r="C75" s="2" t="s">
        <v>26</v>
      </c>
      <c r="D75" s="2" t="s">
        <v>35</v>
      </c>
      <c r="E75" s="2" t="s">
        <v>22</v>
      </c>
      <c r="F75" s="2">
        <v>1277955380444250</v>
      </c>
      <c r="G75" s="2">
        <v>1.2024231584645E+17</v>
      </c>
      <c r="H75" s="2">
        <v>1.2024231618176E+17</v>
      </c>
      <c r="I75" s="2">
        <v>1.2024235726836E+17</v>
      </c>
      <c r="J75" s="2" t="s">
        <v>23</v>
      </c>
      <c r="K75" s="4">
        <v>5592</v>
      </c>
      <c r="L75">
        <v>803</v>
      </c>
      <c r="M75">
        <v>298.35000000000002</v>
      </c>
      <c r="N75">
        <f t="shared" si="3"/>
        <v>5033</v>
      </c>
      <c r="O75">
        <f t="shared" si="4"/>
        <v>2265</v>
      </c>
      <c r="P75" s="5">
        <f t="shared" si="5"/>
        <v>3691</v>
      </c>
      <c r="S75">
        <v>7847</v>
      </c>
      <c r="T75">
        <v>685</v>
      </c>
    </row>
    <row r="76" spans="1:20" ht="15.75" thickBot="1" x14ac:dyDescent="0.3">
      <c r="A76" s="3">
        <v>46105</v>
      </c>
      <c r="B76" s="2" t="s">
        <v>25</v>
      </c>
      <c r="C76" s="2" t="s">
        <v>26</v>
      </c>
      <c r="D76" s="2" t="s">
        <v>35</v>
      </c>
      <c r="E76" s="2" t="s">
        <v>22</v>
      </c>
      <c r="F76" s="2">
        <v>1277955380444250</v>
      </c>
      <c r="G76" s="2">
        <v>1.2024231584645E+17</v>
      </c>
      <c r="H76" s="2">
        <v>1.2024231618176E+17</v>
      </c>
      <c r="I76" s="2">
        <v>1.2024235726836E+17</v>
      </c>
      <c r="J76" s="2" t="s">
        <v>24</v>
      </c>
      <c r="K76" s="4">
        <v>9470</v>
      </c>
      <c r="L76">
        <v>993</v>
      </c>
      <c r="M76">
        <v>1998.34</v>
      </c>
      <c r="N76">
        <f t="shared" si="3"/>
        <v>8523</v>
      </c>
      <c r="O76">
        <f t="shared" si="4"/>
        <v>3835</v>
      </c>
      <c r="P76" s="5">
        <f t="shared" si="5"/>
        <v>6250</v>
      </c>
      <c r="S76">
        <v>8588</v>
      </c>
      <c r="T76">
        <v>673</v>
      </c>
    </row>
    <row r="77" spans="1:20" ht="15.75" thickBot="1" x14ac:dyDescent="0.3">
      <c r="A77" s="3">
        <v>46105</v>
      </c>
      <c r="B77" s="2" t="s">
        <v>25</v>
      </c>
      <c r="C77" s="2" t="s">
        <v>40</v>
      </c>
      <c r="D77" s="2" t="s">
        <v>41</v>
      </c>
      <c r="E77" s="2" t="s">
        <v>22</v>
      </c>
      <c r="F77" s="2">
        <v>1277955380444250</v>
      </c>
      <c r="G77" s="2">
        <v>1.2024231584645E+17</v>
      </c>
      <c r="H77" s="2">
        <v>1.2024246508913E+17</v>
      </c>
      <c r="I77" s="2">
        <v>1.2024246508915E+17</v>
      </c>
      <c r="J77" s="2" t="s">
        <v>23</v>
      </c>
      <c r="K77" s="4">
        <v>9266</v>
      </c>
      <c r="L77">
        <v>364</v>
      </c>
      <c r="M77">
        <v>1784.14</v>
      </c>
      <c r="N77">
        <f t="shared" si="3"/>
        <v>8339</v>
      </c>
      <c r="O77">
        <f t="shared" si="4"/>
        <v>3753</v>
      </c>
      <c r="P77" s="5">
        <f t="shared" si="5"/>
        <v>6116</v>
      </c>
    </row>
    <row r="78" spans="1:20" ht="15.75" thickBot="1" x14ac:dyDescent="0.3">
      <c r="A78" s="3">
        <v>46105</v>
      </c>
      <c r="B78" s="2" t="s">
        <v>25</v>
      </c>
      <c r="C78" s="2" t="s">
        <v>40</v>
      </c>
      <c r="D78" s="2" t="s">
        <v>41</v>
      </c>
      <c r="E78" s="2" t="s">
        <v>22</v>
      </c>
      <c r="F78" s="2">
        <v>1277955380444250</v>
      </c>
      <c r="G78" s="2">
        <v>1.2024231584645E+17</v>
      </c>
      <c r="H78" s="2">
        <v>1.2024246508913E+17</v>
      </c>
      <c r="I78" s="2">
        <v>1.2024246508915E+17</v>
      </c>
      <c r="J78" s="2" t="s">
        <v>24</v>
      </c>
      <c r="K78" s="4">
        <v>4487</v>
      </c>
      <c r="L78">
        <v>375</v>
      </c>
      <c r="M78">
        <v>1809.18</v>
      </c>
      <c r="N78">
        <f t="shared" si="3"/>
        <v>4038</v>
      </c>
      <c r="O78">
        <f t="shared" si="4"/>
        <v>1817</v>
      </c>
      <c r="P78" s="5">
        <f t="shared" si="5"/>
        <v>2961</v>
      </c>
    </row>
    <row r="79" spans="1:20" ht="15.75" thickBot="1" x14ac:dyDescent="0.3">
      <c r="A79" s="3">
        <v>46105</v>
      </c>
      <c r="B79" s="2" t="s">
        <v>25</v>
      </c>
      <c r="C79" s="2" t="s">
        <v>40</v>
      </c>
      <c r="D79" s="2" t="s">
        <v>42</v>
      </c>
      <c r="E79" s="2" t="s">
        <v>22</v>
      </c>
      <c r="F79" s="2">
        <v>1277955380444250</v>
      </c>
      <c r="G79" s="2">
        <v>1.2024231584645E+17</v>
      </c>
      <c r="H79" s="2">
        <v>1.2024246508913E+17</v>
      </c>
      <c r="I79" s="2">
        <v>1.2024246532294E+17</v>
      </c>
      <c r="J79" s="2" t="s">
        <v>23</v>
      </c>
      <c r="K79" s="4">
        <v>3131</v>
      </c>
      <c r="L79">
        <v>393</v>
      </c>
      <c r="M79">
        <v>1630.04</v>
      </c>
      <c r="N79">
        <f t="shared" si="3"/>
        <v>2818</v>
      </c>
      <c r="O79">
        <f t="shared" si="4"/>
        <v>1268</v>
      </c>
      <c r="P79" s="5">
        <f t="shared" si="5"/>
        <v>2066</v>
      </c>
    </row>
    <row r="80" spans="1:20" ht="15.75" thickBot="1" x14ac:dyDescent="0.3">
      <c r="A80" s="3">
        <v>46105</v>
      </c>
      <c r="B80" s="2" t="s">
        <v>25</v>
      </c>
      <c r="C80" s="2" t="s">
        <v>40</v>
      </c>
      <c r="D80" s="2" t="s">
        <v>42</v>
      </c>
      <c r="E80" s="2" t="s">
        <v>22</v>
      </c>
      <c r="F80" s="2">
        <v>1277955380444250</v>
      </c>
      <c r="G80" s="2">
        <v>1.2024231584645E+17</v>
      </c>
      <c r="H80" s="2">
        <v>1.2024246508913E+17</v>
      </c>
      <c r="I80" s="2">
        <v>1.2024246532294E+17</v>
      </c>
      <c r="J80" s="2" t="s">
        <v>24</v>
      </c>
      <c r="K80" s="4">
        <v>6539</v>
      </c>
      <c r="L80">
        <v>774</v>
      </c>
      <c r="M80">
        <v>468.86</v>
      </c>
      <c r="N80">
        <f t="shared" si="3"/>
        <v>5885</v>
      </c>
      <c r="O80">
        <f t="shared" si="4"/>
        <v>2648</v>
      </c>
      <c r="P80" s="5">
        <f t="shared" si="5"/>
        <v>4316</v>
      </c>
    </row>
    <row r="81" spans="1:20" ht="15.75" thickBot="1" x14ac:dyDescent="0.3">
      <c r="A81" s="3">
        <v>46105</v>
      </c>
      <c r="B81" s="2" t="s">
        <v>25</v>
      </c>
      <c r="C81" s="2" t="s">
        <v>28</v>
      </c>
      <c r="D81" s="2" t="s">
        <v>37</v>
      </c>
      <c r="E81" s="2" t="s">
        <v>22</v>
      </c>
      <c r="F81" s="2">
        <v>1277955380444250</v>
      </c>
      <c r="G81" s="2">
        <v>1.2024231584645E+17</v>
      </c>
      <c r="H81" s="2">
        <v>1.2024231613167E+17</v>
      </c>
      <c r="I81" s="2">
        <v>1.2024235723042E+17</v>
      </c>
      <c r="J81" s="2" t="s">
        <v>23</v>
      </c>
      <c r="K81" s="4">
        <v>7661</v>
      </c>
      <c r="L81">
        <v>280</v>
      </c>
      <c r="M81">
        <v>1008.87</v>
      </c>
      <c r="N81">
        <f t="shared" si="3"/>
        <v>6895</v>
      </c>
      <c r="O81">
        <f t="shared" si="4"/>
        <v>3103</v>
      </c>
      <c r="P81" s="5">
        <f t="shared" si="5"/>
        <v>5056</v>
      </c>
      <c r="S81">
        <v>3713</v>
      </c>
      <c r="T81">
        <v>435</v>
      </c>
    </row>
    <row r="82" spans="1:20" ht="15.75" thickBot="1" x14ac:dyDescent="0.3">
      <c r="A82" s="3">
        <v>46105</v>
      </c>
      <c r="B82" s="2" t="s">
        <v>25</v>
      </c>
      <c r="C82" s="2" t="s">
        <v>28</v>
      </c>
      <c r="D82" s="2" t="s">
        <v>37</v>
      </c>
      <c r="E82" s="2" t="s">
        <v>22</v>
      </c>
      <c r="F82" s="2">
        <v>1277955380444250</v>
      </c>
      <c r="G82" s="2">
        <v>1.2024231584645E+17</v>
      </c>
      <c r="H82" s="2">
        <v>1.2024231613167E+17</v>
      </c>
      <c r="I82" s="2">
        <v>1.2024235723042E+17</v>
      </c>
      <c r="J82" s="2" t="s">
        <v>24</v>
      </c>
      <c r="K82" s="4">
        <v>3529</v>
      </c>
      <c r="L82">
        <v>925</v>
      </c>
      <c r="M82">
        <v>1051.92</v>
      </c>
      <c r="N82">
        <f t="shared" si="3"/>
        <v>3176</v>
      </c>
      <c r="O82">
        <f t="shared" si="4"/>
        <v>1429</v>
      </c>
      <c r="P82" s="5">
        <f t="shared" si="5"/>
        <v>2329</v>
      </c>
      <c r="S82">
        <v>9021</v>
      </c>
      <c r="T82">
        <v>443</v>
      </c>
    </row>
    <row r="83" spans="1:20" ht="15.75" thickBot="1" x14ac:dyDescent="0.3">
      <c r="A83" s="3">
        <v>46105</v>
      </c>
      <c r="B83" s="2" t="s">
        <v>25</v>
      </c>
      <c r="C83" s="2" t="s">
        <v>30</v>
      </c>
      <c r="D83" s="2" t="s">
        <v>38</v>
      </c>
      <c r="E83" s="2" t="s">
        <v>22</v>
      </c>
      <c r="F83" s="2">
        <v>1277955380444250</v>
      </c>
      <c r="G83" s="2">
        <v>1.2024231584645E+17</v>
      </c>
      <c r="H83" s="2">
        <v>1.2024231592817E+17</v>
      </c>
      <c r="I83" s="2">
        <v>1.202423571795E+17</v>
      </c>
      <c r="J83" s="2" t="s">
        <v>23</v>
      </c>
      <c r="K83" s="4">
        <v>6900</v>
      </c>
      <c r="L83">
        <v>848</v>
      </c>
      <c r="M83">
        <v>1290.1199999999999</v>
      </c>
      <c r="N83">
        <f t="shared" si="3"/>
        <v>6210</v>
      </c>
      <c r="O83">
        <f t="shared" si="4"/>
        <v>2795</v>
      </c>
      <c r="P83" s="5">
        <f t="shared" si="5"/>
        <v>4554</v>
      </c>
      <c r="S83">
        <v>5782</v>
      </c>
      <c r="T83">
        <v>552</v>
      </c>
    </row>
    <row r="84" spans="1:20" ht="15.75" thickBot="1" x14ac:dyDescent="0.3">
      <c r="A84" s="3">
        <v>46105</v>
      </c>
      <c r="B84" s="2" t="s">
        <v>25</v>
      </c>
      <c r="C84" s="2" t="s">
        <v>30</v>
      </c>
      <c r="D84" s="2" t="s">
        <v>38</v>
      </c>
      <c r="E84" s="2" t="s">
        <v>22</v>
      </c>
      <c r="F84" s="2">
        <v>1277955380444250</v>
      </c>
      <c r="G84" s="2">
        <v>1.2024231584645E+17</v>
      </c>
      <c r="H84" s="2">
        <v>1.2024231592817E+17</v>
      </c>
      <c r="I84" s="2">
        <v>1.202423571795E+17</v>
      </c>
      <c r="J84" s="2" t="s">
        <v>24</v>
      </c>
      <c r="K84" s="4">
        <v>7306</v>
      </c>
      <c r="L84">
        <v>249</v>
      </c>
      <c r="M84">
        <v>798.68</v>
      </c>
      <c r="N84">
        <f t="shared" si="3"/>
        <v>6575</v>
      </c>
      <c r="O84">
        <f t="shared" si="4"/>
        <v>2959</v>
      </c>
      <c r="P84" s="5">
        <f t="shared" si="5"/>
        <v>4822</v>
      </c>
      <c r="S84">
        <v>9060</v>
      </c>
      <c r="T84">
        <v>423</v>
      </c>
    </row>
    <row r="85" spans="1:20" ht="15.75" thickBot="1" x14ac:dyDescent="0.3">
      <c r="A85" s="3">
        <v>46105</v>
      </c>
      <c r="B85" s="2" t="s">
        <v>25</v>
      </c>
      <c r="C85" s="2" t="s">
        <v>32</v>
      </c>
      <c r="D85" s="2" t="s">
        <v>39</v>
      </c>
      <c r="E85" s="2" t="s">
        <v>22</v>
      </c>
      <c r="F85" s="2">
        <v>1277955380444250</v>
      </c>
      <c r="G85" s="2">
        <v>1.2024231584645E+17</v>
      </c>
      <c r="H85" s="2">
        <v>1.2024231584646E+17</v>
      </c>
      <c r="I85" s="2">
        <v>1.202423570912E+17</v>
      </c>
      <c r="J85" s="2" t="s">
        <v>23</v>
      </c>
      <c r="K85" s="4">
        <v>5621</v>
      </c>
      <c r="L85">
        <v>533</v>
      </c>
      <c r="M85">
        <v>1947.31</v>
      </c>
      <c r="N85">
        <f t="shared" si="3"/>
        <v>5059</v>
      </c>
      <c r="O85">
        <f t="shared" si="4"/>
        <v>2277</v>
      </c>
      <c r="P85" s="5">
        <f t="shared" si="5"/>
        <v>3710</v>
      </c>
    </row>
    <row r="86" spans="1:20" ht="15.75" thickBot="1" x14ac:dyDescent="0.3">
      <c r="A86" s="3">
        <v>46105</v>
      </c>
      <c r="B86" s="2" t="s">
        <v>25</v>
      </c>
      <c r="C86" s="2" t="s">
        <v>32</v>
      </c>
      <c r="D86" s="2" t="s">
        <v>39</v>
      </c>
      <c r="E86" s="2" t="s">
        <v>22</v>
      </c>
      <c r="F86" s="2">
        <v>1277955380444250</v>
      </c>
      <c r="G86" s="2">
        <v>1.2024231584645E+17</v>
      </c>
      <c r="H86" s="2">
        <v>1.2024231584646E+17</v>
      </c>
      <c r="I86" s="2">
        <v>1.202423570912E+17</v>
      </c>
      <c r="J86" s="2" t="s">
        <v>24</v>
      </c>
      <c r="K86" s="4">
        <v>3156</v>
      </c>
      <c r="L86">
        <v>523</v>
      </c>
      <c r="M86">
        <v>974.89</v>
      </c>
      <c r="N86">
        <f t="shared" si="3"/>
        <v>2840</v>
      </c>
      <c r="O86">
        <f t="shared" si="4"/>
        <v>1278</v>
      </c>
      <c r="P86" s="5">
        <f t="shared" si="5"/>
        <v>2083</v>
      </c>
    </row>
    <row r="87" spans="1:20" ht="15.75" thickBot="1" x14ac:dyDescent="0.3">
      <c r="A87" s="3">
        <v>46106</v>
      </c>
      <c r="B87" s="2" t="s">
        <v>19</v>
      </c>
      <c r="C87" s="2" t="s">
        <v>20</v>
      </c>
      <c r="D87" s="2" t="s">
        <v>21</v>
      </c>
      <c r="E87" s="2" t="s">
        <v>22</v>
      </c>
      <c r="F87" s="2">
        <v>1277955380444250</v>
      </c>
      <c r="G87" s="2">
        <v>1.2024229057228E+17</v>
      </c>
      <c r="H87" s="2">
        <v>1.2024229057229E+17</v>
      </c>
      <c r="I87" s="2">
        <v>1.2024229057227E+17</v>
      </c>
      <c r="J87" s="2" t="s">
        <v>23</v>
      </c>
      <c r="K87" s="4">
        <v>1883</v>
      </c>
      <c r="L87">
        <v>237</v>
      </c>
      <c r="M87">
        <v>881.12</v>
      </c>
      <c r="N87">
        <f t="shared" si="3"/>
        <v>1695</v>
      </c>
      <c r="O87">
        <f t="shared" si="4"/>
        <v>763</v>
      </c>
      <c r="P87" s="5">
        <f t="shared" si="5"/>
        <v>1243</v>
      </c>
      <c r="S87">
        <v>606</v>
      </c>
      <c r="T87">
        <v>12</v>
      </c>
    </row>
    <row r="88" spans="1:20" ht="15.75" thickBot="1" x14ac:dyDescent="0.3">
      <c r="A88" s="3">
        <v>46106</v>
      </c>
      <c r="B88" s="2" t="s">
        <v>19</v>
      </c>
      <c r="C88" s="2" t="s">
        <v>20</v>
      </c>
      <c r="D88" s="2" t="s">
        <v>21</v>
      </c>
      <c r="E88" s="2" t="s">
        <v>22</v>
      </c>
      <c r="F88" s="2">
        <v>1277955380444250</v>
      </c>
      <c r="G88" s="2">
        <v>1.2024229057228E+17</v>
      </c>
      <c r="H88" s="2">
        <v>1.2024229057229E+17</v>
      </c>
      <c r="I88" s="2">
        <v>1.2024229057227E+17</v>
      </c>
      <c r="J88" s="2" t="s">
        <v>24</v>
      </c>
      <c r="K88" s="4">
        <v>7767</v>
      </c>
      <c r="L88">
        <v>601</v>
      </c>
      <c r="M88">
        <v>1233.81</v>
      </c>
      <c r="N88">
        <f t="shared" si="3"/>
        <v>6990</v>
      </c>
      <c r="O88">
        <f t="shared" si="4"/>
        <v>3146</v>
      </c>
      <c r="P88" s="5">
        <f t="shared" si="5"/>
        <v>5126</v>
      </c>
      <c r="S88">
        <v>53701</v>
      </c>
      <c r="T88">
        <v>217</v>
      </c>
    </row>
    <row r="89" spans="1:20" ht="15.75" thickBot="1" x14ac:dyDescent="0.3">
      <c r="A89" s="3">
        <v>46106</v>
      </c>
      <c r="B89" s="2" t="s">
        <v>19</v>
      </c>
      <c r="C89" s="2" t="s">
        <v>20</v>
      </c>
      <c r="D89" s="2" t="s">
        <v>34</v>
      </c>
      <c r="E89" s="2" t="s">
        <v>22</v>
      </c>
      <c r="F89" s="2">
        <v>1277955380444250</v>
      </c>
      <c r="G89" s="2">
        <v>1.2024229057228E+17</v>
      </c>
      <c r="H89" s="2">
        <v>1.2024229057229E+17</v>
      </c>
      <c r="I89" s="2">
        <v>1.2024229334046E+17</v>
      </c>
      <c r="J89" s="2" t="s">
        <v>23</v>
      </c>
      <c r="K89" s="4">
        <v>6840</v>
      </c>
      <c r="L89">
        <v>703</v>
      </c>
      <c r="M89">
        <v>1897.55</v>
      </c>
      <c r="N89">
        <f t="shared" si="3"/>
        <v>6156</v>
      </c>
      <c r="O89">
        <f t="shared" si="4"/>
        <v>2770</v>
      </c>
      <c r="P89" s="5">
        <f t="shared" si="5"/>
        <v>4514</v>
      </c>
      <c r="S89">
        <v>755</v>
      </c>
      <c r="T89">
        <v>5</v>
      </c>
    </row>
    <row r="90" spans="1:20" ht="15.75" thickBot="1" x14ac:dyDescent="0.3">
      <c r="A90" s="3">
        <v>46106</v>
      </c>
      <c r="B90" s="2" t="s">
        <v>19</v>
      </c>
      <c r="C90" s="2" t="s">
        <v>20</v>
      </c>
      <c r="D90" s="2" t="s">
        <v>34</v>
      </c>
      <c r="E90" s="2" t="s">
        <v>22</v>
      </c>
      <c r="F90" s="2">
        <v>1277955380444250</v>
      </c>
      <c r="G90" s="2">
        <v>1.2024229057228E+17</v>
      </c>
      <c r="H90" s="2">
        <v>1.2024229057229E+17</v>
      </c>
      <c r="I90" s="2">
        <v>1.2024229334046E+17</v>
      </c>
      <c r="J90" s="2" t="s">
        <v>24</v>
      </c>
      <c r="K90" s="4">
        <v>7655</v>
      </c>
      <c r="L90">
        <v>175</v>
      </c>
      <c r="M90">
        <v>532.77</v>
      </c>
      <c r="N90">
        <f t="shared" si="3"/>
        <v>6890</v>
      </c>
      <c r="O90">
        <f t="shared" si="4"/>
        <v>3101</v>
      </c>
      <c r="P90" s="5">
        <f t="shared" si="5"/>
        <v>5052</v>
      </c>
      <c r="S90">
        <v>114422</v>
      </c>
      <c r="T90">
        <v>382</v>
      </c>
    </row>
    <row r="91" spans="1:20" ht="15.75" thickBot="1" x14ac:dyDescent="0.3">
      <c r="A91" s="3">
        <v>46106</v>
      </c>
      <c r="B91" s="2" t="s">
        <v>25</v>
      </c>
      <c r="C91" s="2" t="s">
        <v>26</v>
      </c>
      <c r="D91" s="2" t="s">
        <v>27</v>
      </c>
      <c r="E91" s="2" t="s">
        <v>22</v>
      </c>
      <c r="F91" s="2">
        <v>1277955380444250</v>
      </c>
      <c r="G91" s="2">
        <v>1.2024231584645E+17</v>
      </c>
      <c r="H91" s="2">
        <v>1.2024231618176E+17</v>
      </c>
      <c r="I91" s="2">
        <v>1.2024231618177E+17</v>
      </c>
      <c r="J91" s="2" t="s">
        <v>24</v>
      </c>
      <c r="K91" s="4">
        <v>7831</v>
      </c>
      <c r="L91">
        <v>969</v>
      </c>
      <c r="M91">
        <v>1555.54</v>
      </c>
      <c r="N91">
        <f t="shared" si="3"/>
        <v>7048</v>
      </c>
      <c r="O91">
        <f t="shared" si="4"/>
        <v>3172</v>
      </c>
      <c r="P91" s="5">
        <f t="shared" si="5"/>
        <v>5168</v>
      </c>
    </row>
    <row r="92" spans="1:20" ht="15.75" thickBot="1" x14ac:dyDescent="0.3">
      <c r="A92" s="3">
        <v>46106</v>
      </c>
      <c r="B92" s="2" t="s">
        <v>25</v>
      </c>
      <c r="C92" s="2" t="s">
        <v>26</v>
      </c>
      <c r="D92" s="2" t="s">
        <v>35</v>
      </c>
      <c r="E92" s="2" t="s">
        <v>22</v>
      </c>
      <c r="F92" s="2">
        <v>1277955380444250</v>
      </c>
      <c r="G92" s="2">
        <v>1.2024231584645E+17</v>
      </c>
      <c r="H92" s="2">
        <v>1.2024231618176E+17</v>
      </c>
      <c r="I92" s="2">
        <v>1.2024235726836E+17</v>
      </c>
      <c r="J92" s="2" t="s">
        <v>23</v>
      </c>
      <c r="K92" s="4">
        <v>6963</v>
      </c>
      <c r="L92">
        <v>344</v>
      </c>
      <c r="M92">
        <v>1715.63</v>
      </c>
      <c r="N92">
        <f t="shared" si="3"/>
        <v>6267</v>
      </c>
      <c r="O92">
        <f t="shared" si="4"/>
        <v>2820</v>
      </c>
      <c r="P92" s="5">
        <f t="shared" si="5"/>
        <v>4596</v>
      </c>
      <c r="S92">
        <v>7139</v>
      </c>
      <c r="T92">
        <v>639</v>
      </c>
    </row>
    <row r="93" spans="1:20" ht="15.75" thickBot="1" x14ac:dyDescent="0.3">
      <c r="A93" s="3">
        <v>46106</v>
      </c>
      <c r="B93" s="2" t="s">
        <v>25</v>
      </c>
      <c r="C93" s="2" t="s">
        <v>26</v>
      </c>
      <c r="D93" s="2" t="s">
        <v>35</v>
      </c>
      <c r="E93" s="2" t="s">
        <v>22</v>
      </c>
      <c r="F93" s="2">
        <v>1277955380444250</v>
      </c>
      <c r="G93" s="2">
        <v>1.2024231584645E+17</v>
      </c>
      <c r="H93" s="2">
        <v>1.2024231618176E+17</v>
      </c>
      <c r="I93" s="2">
        <v>1.2024235726836E+17</v>
      </c>
      <c r="J93" s="2" t="s">
        <v>24</v>
      </c>
      <c r="K93" s="4">
        <v>3810</v>
      </c>
      <c r="L93">
        <v>828</v>
      </c>
      <c r="M93">
        <v>1397.29</v>
      </c>
      <c r="N93">
        <f t="shared" si="3"/>
        <v>3429</v>
      </c>
      <c r="O93">
        <f t="shared" si="4"/>
        <v>1543</v>
      </c>
      <c r="P93" s="5">
        <f t="shared" si="5"/>
        <v>2515</v>
      </c>
      <c r="S93">
        <v>5332</v>
      </c>
      <c r="T93">
        <v>478</v>
      </c>
    </row>
    <row r="94" spans="1:20" ht="15.75" thickBot="1" x14ac:dyDescent="0.3">
      <c r="A94" s="3">
        <v>46106</v>
      </c>
      <c r="B94" s="2" t="s">
        <v>25</v>
      </c>
      <c r="C94" s="2" t="s">
        <v>40</v>
      </c>
      <c r="D94" s="2" t="s">
        <v>41</v>
      </c>
      <c r="E94" s="2" t="s">
        <v>22</v>
      </c>
      <c r="F94" s="2">
        <v>1277955380444250</v>
      </c>
      <c r="G94" s="2">
        <v>1.2024231584645E+17</v>
      </c>
      <c r="H94" s="2">
        <v>1.2024246508913E+17</v>
      </c>
      <c r="I94" s="2">
        <v>1.2024246508915E+17</v>
      </c>
      <c r="J94" s="2" t="s">
        <v>23</v>
      </c>
      <c r="K94" s="4">
        <v>5850</v>
      </c>
      <c r="L94">
        <v>547</v>
      </c>
      <c r="M94">
        <v>228.37</v>
      </c>
      <c r="N94">
        <f t="shared" si="3"/>
        <v>5265</v>
      </c>
      <c r="O94">
        <f t="shared" si="4"/>
        <v>2369</v>
      </c>
      <c r="P94" s="5">
        <f t="shared" si="5"/>
        <v>3861</v>
      </c>
    </row>
    <row r="95" spans="1:20" ht="15.75" thickBot="1" x14ac:dyDescent="0.3">
      <c r="A95" s="3">
        <v>46106</v>
      </c>
      <c r="B95" s="2" t="s">
        <v>25</v>
      </c>
      <c r="C95" s="2" t="s">
        <v>40</v>
      </c>
      <c r="D95" s="2" t="s">
        <v>41</v>
      </c>
      <c r="E95" s="2" t="s">
        <v>22</v>
      </c>
      <c r="F95" s="2">
        <v>1277955380444250</v>
      </c>
      <c r="G95" s="2">
        <v>1.2024231584645E+17</v>
      </c>
      <c r="H95" s="2">
        <v>1.2024246508913E+17</v>
      </c>
      <c r="I95" s="2">
        <v>1.2024246508915E+17</v>
      </c>
      <c r="J95" s="2" t="s">
        <v>24</v>
      </c>
      <c r="K95" s="4">
        <v>3765</v>
      </c>
      <c r="L95">
        <v>890</v>
      </c>
      <c r="M95">
        <v>414.27</v>
      </c>
      <c r="N95">
        <f t="shared" si="3"/>
        <v>3389</v>
      </c>
      <c r="O95">
        <f t="shared" si="4"/>
        <v>1525</v>
      </c>
      <c r="P95" s="5">
        <f t="shared" si="5"/>
        <v>2485</v>
      </c>
    </row>
    <row r="96" spans="1:20" ht="15.75" thickBot="1" x14ac:dyDescent="0.3">
      <c r="A96" s="3">
        <v>46106</v>
      </c>
      <c r="B96" s="2" t="s">
        <v>25</v>
      </c>
      <c r="C96" s="2" t="s">
        <v>40</v>
      </c>
      <c r="D96" s="2" t="s">
        <v>42</v>
      </c>
      <c r="E96" s="2" t="s">
        <v>22</v>
      </c>
      <c r="F96" s="2">
        <v>1277955380444250</v>
      </c>
      <c r="G96" s="2">
        <v>1.2024231584645E+17</v>
      </c>
      <c r="H96" s="2">
        <v>1.2024246508913E+17</v>
      </c>
      <c r="I96" s="2">
        <v>1.2024246532294E+17</v>
      </c>
      <c r="J96" s="2" t="s">
        <v>23</v>
      </c>
      <c r="K96" s="4">
        <v>7434</v>
      </c>
      <c r="L96">
        <v>443</v>
      </c>
      <c r="M96">
        <v>1948.27</v>
      </c>
      <c r="N96">
        <f t="shared" si="3"/>
        <v>6691</v>
      </c>
      <c r="O96">
        <f t="shared" si="4"/>
        <v>3011</v>
      </c>
      <c r="P96" s="5">
        <f t="shared" si="5"/>
        <v>4906</v>
      </c>
    </row>
    <row r="97" spans="1:20" ht="15.75" thickBot="1" x14ac:dyDescent="0.3">
      <c r="A97" s="3">
        <v>46106</v>
      </c>
      <c r="B97" s="2" t="s">
        <v>25</v>
      </c>
      <c r="C97" s="2" t="s">
        <v>40</v>
      </c>
      <c r="D97" s="2" t="s">
        <v>42</v>
      </c>
      <c r="E97" s="2" t="s">
        <v>22</v>
      </c>
      <c r="F97" s="2">
        <v>1277955380444250</v>
      </c>
      <c r="G97" s="2">
        <v>1.2024231584645E+17</v>
      </c>
      <c r="H97" s="2">
        <v>1.2024246508913E+17</v>
      </c>
      <c r="I97" s="2">
        <v>1.2024246532294E+17</v>
      </c>
      <c r="J97" s="2" t="s">
        <v>24</v>
      </c>
      <c r="K97" s="4">
        <v>7550</v>
      </c>
      <c r="L97">
        <v>823</v>
      </c>
      <c r="M97">
        <v>1404.25</v>
      </c>
      <c r="N97">
        <f t="shared" si="3"/>
        <v>6795</v>
      </c>
      <c r="O97">
        <f t="shared" si="4"/>
        <v>3058</v>
      </c>
      <c r="P97" s="5">
        <f t="shared" si="5"/>
        <v>4983</v>
      </c>
    </row>
    <row r="98" spans="1:20" ht="15.75" thickBot="1" x14ac:dyDescent="0.3">
      <c r="A98" s="3">
        <v>46106</v>
      </c>
      <c r="B98" s="2" t="s">
        <v>25</v>
      </c>
      <c r="C98" s="2" t="s">
        <v>40</v>
      </c>
      <c r="D98" s="2" t="s">
        <v>42</v>
      </c>
      <c r="E98" s="2" t="s">
        <v>22</v>
      </c>
      <c r="F98" s="2">
        <v>1277955380444250</v>
      </c>
      <c r="G98" s="2">
        <v>1.2024231584645E+17</v>
      </c>
      <c r="H98" s="2">
        <v>1.2024246508913E+17</v>
      </c>
      <c r="I98" s="2">
        <v>1.2024246532294E+17</v>
      </c>
      <c r="J98" s="2" t="s">
        <v>36</v>
      </c>
      <c r="K98" s="4">
        <v>6728</v>
      </c>
      <c r="L98">
        <v>472</v>
      </c>
      <c r="M98">
        <v>724.47</v>
      </c>
      <c r="N98">
        <f t="shared" si="3"/>
        <v>6055</v>
      </c>
      <c r="O98">
        <f t="shared" si="4"/>
        <v>2725</v>
      </c>
      <c r="P98" s="5">
        <f t="shared" si="5"/>
        <v>4440</v>
      </c>
    </row>
    <row r="99" spans="1:20" ht="15.75" thickBot="1" x14ac:dyDescent="0.3">
      <c r="A99" s="3">
        <v>46106</v>
      </c>
      <c r="B99" s="2" t="s">
        <v>25</v>
      </c>
      <c r="C99" s="2" t="s">
        <v>28</v>
      </c>
      <c r="D99" s="2" t="s">
        <v>37</v>
      </c>
      <c r="E99" s="2" t="s">
        <v>22</v>
      </c>
      <c r="F99" s="2">
        <v>1277955380444250</v>
      </c>
      <c r="G99" s="2">
        <v>1.2024231584645E+17</v>
      </c>
      <c r="H99" s="2">
        <v>1.2024231613167E+17</v>
      </c>
      <c r="I99" s="2">
        <v>1.2024235723042E+17</v>
      </c>
      <c r="J99" s="2" t="s">
        <v>23</v>
      </c>
      <c r="K99" s="4">
        <v>4774</v>
      </c>
      <c r="L99">
        <v>316</v>
      </c>
      <c r="M99">
        <v>538.09</v>
      </c>
      <c r="N99">
        <f t="shared" si="3"/>
        <v>4297</v>
      </c>
      <c r="O99">
        <f t="shared" si="4"/>
        <v>1934</v>
      </c>
      <c r="P99" s="5">
        <f t="shared" si="5"/>
        <v>3151</v>
      </c>
      <c r="S99">
        <v>5385</v>
      </c>
      <c r="T99">
        <v>555</v>
      </c>
    </row>
    <row r="100" spans="1:20" ht="15.75" thickBot="1" x14ac:dyDescent="0.3">
      <c r="A100" s="3">
        <v>46106</v>
      </c>
      <c r="B100" s="2" t="s">
        <v>25</v>
      </c>
      <c r="C100" s="2" t="s">
        <v>28</v>
      </c>
      <c r="D100" s="2" t="s">
        <v>37</v>
      </c>
      <c r="E100" s="2" t="s">
        <v>22</v>
      </c>
      <c r="F100" s="2">
        <v>1277955380444250</v>
      </c>
      <c r="G100" s="2">
        <v>1.2024231584645E+17</v>
      </c>
      <c r="H100" s="2">
        <v>1.2024231613167E+17</v>
      </c>
      <c r="I100" s="2">
        <v>1.2024235723042E+17</v>
      </c>
      <c r="J100" s="2" t="s">
        <v>24</v>
      </c>
      <c r="K100" s="4">
        <v>3928</v>
      </c>
      <c r="L100">
        <v>895</v>
      </c>
      <c r="M100">
        <v>131.81</v>
      </c>
      <c r="N100">
        <f t="shared" si="3"/>
        <v>3535</v>
      </c>
      <c r="O100">
        <f t="shared" si="4"/>
        <v>1591</v>
      </c>
      <c r="P100" s="5">
        <f t="shared" si="5"/>
        <v>2592</v>
      </c>
      <c r="S100">
        <v>8325</v>
      </c>
      <c r="T100">
        <v>447</v>
      </c>
    </row>
    <row r="101" spans="1:20" ht="15.75" thickBot="1" x14ac:dyDescent="0.3">
      <c r="A101" s="3">
        <v>46106</v>
      </c>
      <c r="B101" s="2" t="s">
        <v>25</v>
      </c>
      <c r="C101" s="2" t="s">
        <v>30</v>
      </c>
      <c r="D101" s="2" t="s">
        <v>38</v>
      </c>
      <c r="E101" s="2" t="s">
        <v>22</v>
      </c>
      <c r="F101" s="2">
        <v>1277955380444250</v>
      </c>
      <c r="G101" s="2">
        <v>1.2024231584645E+17</v>
      </c>
      <c r="H101" s="2">
        <v>1.2024231592817E+17</v>
      </c>
      <c r="I101" s="2">
        <v>1.202423571795E+17</v>
      </c>
      <c r="J101" s="2" t="s">
        <v>23</v>
      </c>
      <c r="K101" s="4">
        <v>6540</v>
      </c>
      <c r="L101">
        <v>548</v>
      </c>
      <c r="M101">
        <v>1006.03</v>
      </c>
      <c r="N101">
        <f t="shared" si="3"/>
        <v>5886</v>
      </c>
      <c r="O101">
        <f t="shared" si="4"/>
        <v>2649</v>
      </c>
      <c r="P101" s="5">
        <f t="shared" si="5"/>
        <v>4316</v>
      </c>
      <c r="S101">
        <v>4168</v>
      </c>
      <c r="T101">
        <v>451</v>
      </c>
    </row>
    <row r="102" spans="1:20" ht="15.75" thickBot="1" x14ac:dyDescent="0.3">
      <c r="A102" s="3">
        <v>46106</v>
      </c>
      <c r="B102" s="2" t="s">
        <v>25</v>
      </c>
      <c r="C102" s="2" t="s">
        <v>30</v>
      </c>
      <c r="D102" s="2" t="s">
        <v>38</v>
      </c>
      <c r="E102" s="2" t="s">
        <v>22</v>
      </c>
      <c r="F102" s="2">
        <v>1277955380444250</v>
      </c>
      <c r="G102" s="2">
        <v>1.2024231584645E+17</v>
      </c>
      <c r="H102" s="2">
        <v>1.2024231592817E+17</v>
      </c>
      <c r="I102" s="2">
        <v>1.202423571795E+17</v>
      </c>
      <c r="J102" s="2" t="s">
        <v>24</v>
      </c>
      <c r="K102" s="4">
        <v>5085</v>
      </c>
      <c r="L102">
        <v>183</v>
      </c>
      <c r="M102">
        <v>170.14</v>
      </c>
      <c r="N102">
        <f t="shared" si="3"/>
        <v>4577</v>
      </c>
      <c r="O102">
        <f t="shared" si="4"/>
        <v>2060</v>
      </c>
      <c r="P102" s="5">
        <f t="shared" si="5"/>
        <v>3356</v>
      </c>
      <c r="S102">
        <v>7908</v>
      </c>
      <c r="T102">
        <v>421</v>
      </c>
    </row>
    <row r="103" spans="1:20" ht="15.75" thickBot="1" x14ac:dyDescent="0.3">
      <c r="A103" s="3">
        <v>46106</v>
      </c>
      <c r="B103" s="2" t="s">
        <v>25</v>
      </c>
      <c r="C103" s="2" t="s">
        <v>32</v>
      </c>
      <c r="D103" s="2" t="s">
        <v>39</v>
      </c>
      <c r="E103" s="2" t="s">
        <v>22</v>
      </c>
      <c r="F103" s="2">
        <v>1277955380444250</v>
      </c>
      <c r="G103" s="2">
        <v>1.2024231584645E+17</v>
      </c>
      <c r="H103" s="2">
        <v>1.2024231584646E+17</v>
      </c>
      <c r="I103" s="2">
        <v>1.202423570912E+17</v>
      </c>
      <c r="J103" s="2" t="s">
        <v>23</v>
      </c>
      <c r="K103" s="4">
        <v>8043</v>
      </c>
      <c r="L103">
        <v>573</v>
      </c>
      <c r="M103">
        <v>1714.24</v>
      </c>
      <c r="N103">
        <f t="shared" si="3"/>
        <v>7239</v>
      </c>
      <c r="O103">
        <f t="shared" si="4"/>
        <v>3258</v>
      </c>
      <c r="P103" s="5">
        <f t="shared" si="5"/>
        <v>5308</v>
      </c>
    </row>
    <row r="104" spans="1:20" ht="15.75" thickBot="1" x14ac:dyDescent="0.3">
      <c r="A104" s="3">
        <v>46106</v>
      </c>
      <c r="B104" s="2" t="s">
        <v>25</v>
      </c>
      <c r="C104" s="2" t="s">
        <v>32</v>
      </c>
      <c r="D104" s="2" t="s">
        <v>39</v>
      </c>
      <c r="E104" s="2" t="s">
        <v>22</v>
      </c>
      <c r="F104" s="2">
        <v>1277955380444250</v>
      </c>
      <c r="G104" s="2">
        <v>1.2024231584645E+17</v>
      </c>
      <c r="H104" s="2">
        <v>1.2024231584646E+17</v>
      </c>
      <c r="I104" s="2">
        <v>1.202423570912E+17</v>
      </c>
      <c r="J104" s="2" t="s">
        <v>24</v>
      </c>
      <c r="K104" s="4">
        <v>6316</v>
      </c>
      <c r="L104">
        <v>644</v>
      </c>
      <c r="M104">
        <v>469.69</v>
      </c>
      <c r="N104">
        <f t="shared" si="3"/>
        <v>5684</v>
      </c>
      <c r="O104">
        <f t="shared" si="4"/>
        <v>2558</v>
      </c>
      <c r="P104" s="5">
        <f t="shared" si="5"/>
        <v>4169</v>
      </c>
    </row>
    <row r="105" spans="1:20" ht="15.75" thickBot="1" x14ac:dyDescent="0.3">
      <c r="A105" s="3">
        <v>46107</v>
      </c>
      <c r="B105" s="2" t="s">
        <v>19</v>
      </c>
      <c r="C105" s="2" t="s">
        <v>20</v>
      </c>
      <c r="D105" s="2" t="s">
        <v>21</v>
      </c>
      <c r="E105" s="2" t="s">
        <v>22</v>
      </c>
      <c r="F105" s="2">
        <v>1277955380444250</v>
      </c>
      <c r="G105" s="2">
        <v>1.2024229057228E+17</v>
      </c>
      <c r="H105" s="2">
        <v>1.2024229057229E+17</v>
      </c>
      <c r="I105" s="2">
        <v>1.2024229057227E+17</v>
      </c>
      <c r="J105" s="2" t="s">
        <v>23</v>
      </c>
      <c r="K105" s="4">
        <v>3711</v>
      </c>
      <c r="L105">
        <v>763</v>
      </c>
      <c r="M105">
        <v>755.79</v>
      </c>
      <c r="N105">
        <f t="shared" si="3"/>
        <v>3340</v>
      </c>
      <c r="O105">
        <f t="shared" si="4"/>
        <v>1503</v>
      </c>
      <c r="P105" s="5">
        <f t="shared" si="5"/>
        <v>2449</v>
      </c>
      <c r="S105">
        <v>506</v>
      </c>
      <c r="T105">
        <v>10</v>
      </c>
    </row>
    <row r="106" spans="1:20" ht="15.75" thickBot="1" x14ac:dyDescent="0.3">
      <c r="A106" s="3">
        <v>46107</v>
      </c>
      <c r="B106" s="2" t="s">
        <v>19</v>
      </c>
      <c r="C106" s="2" t="s">
        <v>20</v>
      </c>
      <c r="D106" s="2" t="s">
        <v>21</v>
      </c>
      <c r="E106" s="2" t="s">
        <v>22</v>
      </c>
      <c r="F106" s="2">
        <v>1277955380444250</v>
      </c>
      <c r="G106" s="2">
        <v>1.2024229057228E+17</v>
      </c>
      <c r="H106" s="2">
        <v>1.2024229057229E+17</v>
      </c>
      <c r="I106" s="2">
        <v>1.2024229057227E+17</v>
      </c>
      <c r="J106" s="2" t="s">
        <v>24</v>
      </c>
      <c r="K106" s="4">
        <v>7298</v>
      </c>
      <c r="L106">
        <v>253</v>
      </c>
      <c r="M106">
        <v>1811.15</v>
      </c>
      <c r="N106">
        <f t="shared" si="3"/>
        <v>6568</v>
      </c>
      <c r="O106">
        <f t="shared" si="4"/>
        <v>2956</v>
      </c>
      <c r="P106" s="5">
        <f t="shared" si="5"/>
        <v>4817</v>
      </c>
      <c r="S106">
        <v>52590</v>
      </c>
      <c r="T106">
        <v>223</v>
      </c>
    </row>
    <row r="107" spans="1:20" ht="15.75" thickBot="1" x14ac:dyDescent="0.3">
      <c r="A107" s="3">
        <v>46107</v>
      </c>
      <c r="B107" s="2" t="s">
        <v>19</v>
      </c>
      <c r="C107" s="2" t="s">
        <v>20</v>
      </c>
      <c r="D107" s="2" t="s">
        <v>34</v>
      </c>
      <c r="E107" s="2" t="s">
        <v>22</v>
      </c>
      <c r="F107" s="2">
        <v>1277955380444250</v>
      </c>
      <c r="G107" s="2">
        <v>1.2024229057228E+17</v>
      </c>
      <c r="H107" s="2">
        <v>1.2024229057229E+17</v>
      </c>
      <c r="I107" s="2">
        <v>1.2024229334046E+17</v>
      </c>
      <c r="J107" s="2" t="s">
        <v>23</v>
      </c>
      <c r="K107" s="4">
        <v>1558</v>
      </c>
      <c r="L107">
        <v>333</v>
      </c>
      <c r="M107">
        <v>914.2</v>
      </c>
      <c r="N107">
        <f t="shared" si="3"/>
        <v>1402</v>
      </c>
      <c r="O107">
        <f t="shared" si="4"/>
        <v>631</v>
      </c>
      <c r="P107" s="5">
        <f t="shared" si="5"/>
        <v>1028</v>
      </c>
      <c r="S107">
        <v>287</v>
      </c>
    </row>
    <row r="108" spans="1:20" ht="15.75" thickBot="1" x14ac:dyDescent="0.3">
      <c r="A108" s="3">
        <v>46107</v>
      </c>
      <c r="B108" s="2" t="s">
        <v>19</v>
      </c>
      <c r="C108" s="2" t="s">
        <v>20</v>
      </c>
      <c r="D108" s="2" t="s">
        <v>34</v>
      </c>
      <c r="E108" s="2" t="s">
        <v>22</v>
      </c>
      <c r="F108" s="2">
        <v>1277955380444250</v>
      </c>
      <c r="G108" s="2">
        <v>1.2024229057228E+17</v>
      </c>
      <c r="H108" s="2">
        <v>1.2024229057229E+17</v>
      </c>
      <c r="I108" s="2">
        <v>1.2024229334046E+17</v>
      </c>
      <c r="J108" s="2" t="s">
        <v>24</v>
      </c>
      <c r="K108" s="4">
        <v>1389</v>
      </c>
      <c r="L108">
        <v>681</v>
      </c>
      <c r="M108">
        <v>1553.64</v>
      </c>
      <c r="N108">
        <f t="shared" si="3"/>
        <v>1250</v>
      </c>
      <c r="O108">
        <f t="shared" si="4"/>
        <v>563</v>
      </c>
      <c r="P108" s="5">
        <f t="shared" si="5"/>
        <v>917</v>
      </c>
      <c r="S108">
        <v>108878</v>
      </c>
      <c r="T108">
        <v>417</v>
      </c>
    </row>
    <row r="109" spans="1:20" ht="15.75" thickBot="1" x14ac:dyDescent="0.3">
      <c r="A109" s="3">
        <v>46107</v>
      </c>
      <c r="B109" s="2" t="s">
        <v>25</v>
      </c>
      <c r="C109" s="2" t="s">
        <v>26</v>
      </c>
      <c r="D109" s="2" t="s">
        <v>35</v>
      </c>
      <c r="E109" s="2" t="s">
        <v>22</v>
      </c>
      <c r="F109" s="2">
        <v>1277955380444250</v>
      </c>
      <c r="G109" s="2">
        <v>1.2024231584645E+17</v>
      </c>
      <c r="H109" s="2">
        <v>1.2024231618176E+17</v>
      </c>
      <c r="I109" s="2">
        <v>1.2024235726836E+17</v>
      </c>
      <c r="J109" s="2" t="s">
        <v>23</v>
      </c>
      <c r="K109" s="4">
        <v>1225</v>
      </c>
      <c r="L109">
        <v>592</v>
      </c>
      <c r="M109">
        <v>1560.58</v>
      </c>
      <c r="N109">
        <f t="shared" si="3"/>
        <v>1103</v>
      </c>
      <c r="O109">
        <f t="shared" si="4"/>
        <v>496</v>
      </c>
      <c r="P109" s="5">
        <f t="shared" si="5"/>
        <v>809</v>
      </c>
      <c r="S109">
        <v>5405</v>
      </c>
      <c r="T109">
        <v>412</v>
      </c>
    </row>
    <row r="110" spans="1:20" ht="15.75" thickBot="1" x14ac:dyDescent="0.3">
      <c r="A110" s="3">
        <v>46107</v>
      </c>
      <c r="B110" s="2" t="s">
        <v>25</v>
      </c>
      <c r="C110" s="2" t="s">
        <v>26</v>
      </c>
      <c r="D110" s="2" t="s">
        <v>35</v>
      </c>
      <c r="E110" s="2" t="s">
        <v>22</v>
      </c>
      <c r="F110" s="2">
        <v>1277955380444250</v>
      </c>
      <c r="G110" s="2">
        <v>1.2024231584645E+17</v>
      </c>
      <c r="H110" s="2">
        <v>1.2024231618176E+17</v>
      </c>
      <c r="I110" s="2">
        <v>1.2024235726836E+17</v>
      </c>
      <c r="J110" s="2" t="s">
        <v>24</v>
      </c>
      <c r="K110" s="4">
        <v>2212</v>
      </c>
      <c r="L110">
        <v>589</v>
      </c>
      <c r="M110">
        <v>1685.63</v>
      </c>
      <c r="N110">
        <f t="shared" si="3"/>
        <v>1991</v>
      </c>
      <c r="O110">
        <f t="shared" si="4"/>
        <v>896</v>
      </c>
      <c r="P110" s="5">
        <f t="shared" si="5"/>
        <v>1460</v>
      </c>
      <c r="S110">
        <v>4100</v>
      </c>
      <c r="T110">
        <v>377</v>
      </c>
    </row>
    <row r="111" spans="1:20" ht="15.75" thickBot="1" x14ac:dyDescent="0.3">
      <c r="A111" s="3">
        <v>46107</v>
      </c>
      <c r="B111" s="2" t="s">
        <v>25</v>
      </c>
      <c r="C111" s="2" t="s">
        <v>40</v>
      </c>
      <c r="D111" s="2" t="s">
        <v>41</v>
      </c>
      <c r="E111" s="2" t="s">
        <v>22</v>
      </c>
      <c r="F111" s="2">
        <v>1277955380444250</v>
      </c>
      <c r="G111" s="2">
        <v>1.2024231584645E+17</v>
      </c>
      <c r="H111" s="2">
        <v>1.2024246508913E+17</v>
      </c>
      <c r="I111" s="2">
        <v>1.2024246508915E+17</v>
      </c>
      <c r="J111" s="2" t="s">
        <v>23</v>
      </c>
      <c r="K111" s="4">
        <v>6603</v>
      </c>
      <c r="L111">
        <v>907</v>
      </c>
      <c r="M111">
        <v>836.53</v>
      </c>
      <c r="N111">
        <f t="shared" si="3"/>
        <v>5943</v>
      </c>
      <c r="O111">
        <f t="shared" si="4"/>
        <v>2674</v>
      </c>
      <c r="P111" s="5">
        <f t="shared" si="5"/>
        <v>4358</v>
      </c>
    </row>
    <row r="112" spans="1:20" ht="15.75" thickBot="1" x14ac:dyDescent="0.3">
      <c r="A112" s="3">
        <v>46107</v>
      </c>
      <c r="B112" s="2" t="s">
        <v>25</v>
      </c>
      <c r="C112" s="2" t="s">
        <v>40</v>
      </c>
      <c r="D112" s="2" t="s">
        <v>41</v>
      </c>
      <c r="E112" s="2" t="s">
        <v>22</v>
      </c>
      <c r="F112" s="2">
        <v>1277955380444250</v>
      </c>
      <c r="G112" s="2">
        <v>1.2024231584645E+17</v>
      </c>
      <c r="H112" s="2">
        <v>1.2024246508913E+17</v>
      </c>
      <c r="I112" s="2">
        <v>1.2024246508915E+17</v>
      </c>
      <c r="J112" s="2" t="s">
        <v>24</v>
      </c>
      <c r="K112" s="4">
        <v>7634</v>
      </c>
      <c r="L112">
        <v>617</v>
      </c>
      <c r="M112">
        <v>1382.42</v>
      </c>
      <c r="N112">
        <f t="shared" si="3"/>
        <v>6871</v>
      </c>
      <c r="O112">
        <f t="shared" si="4"/>
        <v>3092</v>
      </c>
      <c r="P112" s="5">
        <f t="shared" si="5"/>
        <v>5038</v>
      </c>
    </row>
    <row r="113" spans="1:20" ht="15.75" thickBot="1" x14ac:dyDescent="0.3">
      <c r="A113" s="3">
        <v>46107</v>
      </c>
      <c r="B113" s="2" t="s">
        <v>25</v>
      </c>
      <c r="C113" s="2" t="s">
        <v>40</v>
      </c>
      <c r="D113" s="2" t="s">
        <v>42</v>
      </c>
      <c r="E113" s="2" t="s">
        <v>22</v>
      </c>
      <c r="F113" s="2">
        <v>1277955380444250</v>
      </c>
      <c r="G113" s="2">
        <v>1.2024231584645E+17</v>
      </c>
      <c r="H113" s="2">
        <v>1.2024246508913E+17</v>
      </c>
      <c r="I113" s="2">
        <v>1.2024246532294E+17</v>
      </c>
      <c r="J113" s="2" t="s">
        <v>23</v>
      </c>
      <c r="K113" s="4">
        <v>1648</v>
      </c>
      <c r="L113">
        <v>370</v>
      </c>
      <c r="M113">
        <v>1523.89</v>
      </c>
      <c r="N113">
        <f t="shared" si="3"/>
        <v>1483</v>
      </c>
      <c r="O113">
        <f t="shared" si="4"/>
        <v>667</v>
      </c>
      <c r="P113" s="5">
        <f t="shared" si="5"/>
        <v>1088</v>
      </c>
    </row>
    <row r="114" spans="1:20" ht="15.75" thickBot="1" x14ac:dyDescent="0.3">
      <c r="A114" s="3">
        <v>46107</v>
      </c>
      <c r="B114" s="2" t="s">
        <v>25</v>
      </c>
      <c r="C114" s="2" t="s">
        <v>40</v>
      </c>
      <c r="D114" s="2" t="s">
        <v>42</v>
      </c>
      <c r="E114" s="2" t="s">
        <v>22</v>
      </c>
      <c r="F114" s="2">
        <v>1277955380444250</v>
      </c>
      <c r="G114" s="2">
        <v>1.2024231584645E+17</v>
      </c>
      <c r="H114" s="2">
        <v>1.2024246508913E+17</v>
      </c>
      <c r="I114" s="2">
        <v>1.2024246532294E+17</v>
      </c>
      <c r="J114" s="2" t="s">
        <v>24</v>
      </c>
      <c r="K114" s="4">
        <v>8082</v>
      </c>
      <c r="L114">
        <v>505</v>
      </c>
      <c r="M114">
        <v>347.03</v>
      </c>
      <c r="N114">
        <f t="shared" si="3"/>
        <v>7274</v>
      </c>
      <c r="O114">
        <f t="shared" si="4"/>
        <v>3273</v>
      </c>
      <c r="P114" s="5">
        <f t="shared" si="5"/>
        <v>5334</v>
      </c>
    </row>
    <row r="115" spans="1:20" ht="15.75" thickBot="1" x14ac:dyDescent="0.3">
      <c r="A115" s="3">
        <v>46107</v>
      </c>
      <c r="B115" s="2" t="s">
        <v>25</v>
      </c>
      <c r="C115" s="2" t="s">
        <v>28</v>
      </c>
      <c r="D115" s="2" t="s">
        <v>37</v>
      </c>
      <c r="E115" s="2" t="s">
        <v>22</v>
      </c>
      <c r="F115" s="2">
        <v>1277955380444250</v>
      </c>
      <c r="G115" s="2">
        <v>1.2024231584645E+17</v>
      </c>
      <c r="H115" s="2">
        <v>1.2024231613167E+17</v>
      </c>
      <c r="I115" s="2">
        <v>1.2024235723042E+17</v>
      </c>
      <c r="J115" s="2" t="s">
        <v>23</v>
      </c>
      <c r="K115" s="4">
        <v>6866</v>
      </c>
      <c r="L115">
        <v>807</v>
      </c>
      <c r="M115">
        <v>1737.54</v>
      </c>
      <c r="N115">
        <f t="shared" si="3"/>
        <v>6179</v>
      </c>
      <c r="O115">
        <f t="shared" si="4"/>
        <v>2781</v>
      </c>
      <c r="P115" s="5">
        <f t="shared" si="5"/>
        <v>4532</v>
      </c>
      <c r="S115">
        <v>3988</v>
      </c>
      <c r="T115">
        <v>424</v>
      </c>
    </row>
    <row r="116" spans="1:20" ht="15.75" thickBot="1" x14ac:dyDescent="0.3">
      <c r="A116" s="3">
        <v>46107</v>
      </c>
      <c r="B116" s="2" t="s">
        <v>25</v>
      </c>
      <c r="C116" s="2" t="s">
        <v>28</v>
      </c>
      <c r="D116" s="2" t="s">
        <v>37</v>
      </c>
      <c r="E116" s="2" t="s">
        <v>22</v>
      </c>
      <c r="F116" s="2">
        <v>1277955380444250</v>
      </c>
      <c r="G116" s="2">
        <v>1.2024231584645E+17</v>
      </c>
      <c r="H116" s="2">
        <v>1.2024231613167E+17</v>
      </c>
      <c r="I116" s="2">
        <v>1.2024235723042E+17</v>
      </c>
      <c r="J116" s="2" t="s">
        <v>24</v>
      </c>
      <c r="K116" s="4">
        <v>9204</v>
      </c>
      <c r="L116">
        <v>312</v>
      </c>
      <c r="M116">
        <v>1148.1400000000001</v>
      </c>
      <c r="N116">
        <f t="shared" si="3"/>
        <v>8284</v>
      </c>
      <c r="O116">
        <f t="shared" si="4"/>
        <v>3728</v>
      </c>
      <c r="P116" s="5">
        <f t="shared" si="5"/>
        <v>6075</v>
      </c>
      <c r="S116">
        <v>7728</v>
      </c>
      <c r="T116">
        <v>391</v>
      </c>
    </row>
    <row r="117" spans="1:20" ht="15.75" thickBot="1" x14ac:dyDescent="0.3">
      <c r="A117" s="3">
        <v>46107</v>
      </c>
      <c r="B117" s="2" t="s">
        <v>25</v>
      </c>
      <c r="C117" s="2" t="s">
        <v>30</v>
      </c>
      <c r="D117" s="2" t="s">
        <v>38</v>
      </c>
      <c r="E117" s="2" t="s">
        <v>22</v>
      </c>
      <c r="F117" s="2">
        <v>1277955380444250</v>
      </c>
      <c r="G117" s="2">
        <v>1.2024231584645E+17</v>
      </c>
      <c r="H117" s="2">
        <v>1.2024231592817E+17</v>
      </c>
      <c r="I117" s="2">
        <v>1.202423571795E+17</v>
      </c>
      <c r="J117" s="2" t="s">
        <v>23</v>
      </c>
      <c r="K117" s="4">
        <v>9954</v>
      </c>
      <c r="L117">
        <v>978</v>
      </c>
      <c r="M117">
        <v>1491.55</v>
      </c>
      <c r="N117">
        <f t="shared" si="3"/>
        <v>8959</v>
      </c>
      <c r="O117">
        <f t="shared" si="4"/>
        <v>4032</v>
      </c>
      <c r="P117" s="5">
        <f t="shared" si="5"/>
        <v>6570</v>
      </c>
      <c r="S117">
        <v>3848</v>
      </c>
      <c r="T117">
        <v>420</v>
      </c>
    </row>
    <row r="118" spans="1:20" ht="15.75" thickBot="1" x14ac:dyDescent="0.3">
      <c r="A118" s="3">
        <v>46107</v>
      </c>
      <c r="B118" s="2" t="s">
        <v>25</v>
      </c>
      <c r="C118" s="2" t="s">
        <v>30</v>
      </c>
      <c r="D118" s="2" t="s">
        <v>38</v>
      </c>
      <c r="E118" s="2" t="s">
        <v>22</v>
      </c>
      <c r="F118" s="2">
        <v>1277955380444250</v>
      </c>
      <c r="G118" s="2">
        <v>1.2024231584645E+17</v>
      </c>
      <c r="H118" s="2">
        <v>1.2024231592817E+17</v>
      </c>
      <c r="I118" s="2">
        <v>1.202423571795E+17</v>
      </c>
      <c r="J118" s="2" t="s">
        <v>24</v>
      </c>
      <c r="K118" s="4">
        <v>1019</v>
      </c>
      <c r="L118">
        <v>57</v>
      </c>
      <c r="M118">
        <v>229.88</v>
      </c>
      <c r="N118">
        <f t="shared" si="3"/>
        <v>917</v>
      </c>
      <c r="O118">
        <f t="shared" si="4"/>
        <v>413</v>
      </c>
      <c r="P118" s="5">
        <f t="shared" si="5"/>
        <v>673</v>
      </c>
      <c r="S118">
        <v>8910</v>
      </c>
      <c r="T118">
        <v>581</v>
      </c>
    </row>
    <row r="119" spans="1:20" ht="15.75" thickBot="1" x14ac:dyDescent="0.3">
      <c r="A119" s="3">
        <v>46107</v>
      </c>
      <c r="B119" s="2" t="s">
        <v>25</v>
      </c>
      <c r="C119" s="2" t="s">
        <v>32</v>
      </c>
      <c r="D119" s="2" t="s">
        <v>39</v>
      </c>
      <c r="E119" s="2" t="s">
        <v>22</v>
      </c>
      <c r="F119" s="2">
        <v>1277955380444250</v>
      </c>
      <c r="G119" s="2">
        <v>1.2024231584645E+17</v>
      </c>
      <c r="H119" s="2">
        <v>1.2024231584646E+17</v>
      </c>
      <c r="I119" s="2">
        <v>1.202423570912E+17</v>
      </c>
      <c r="J119" s="2" t="s">
        <v>23</v>
      </c>
      <c r="K119" s="4">
        <v>2864</v>
      </c>
      <c r="L119">
        <v>844</v>
      </c>
      <c r="M119">
        <v>456.07</v>
      </c>
      <c r="N119">
        <f t="shared" si="3"/>
        <v>2578</v>
      </c>
      <c r="O119">
        <f t="shared" si="4"/>
        <v>1160</v>
      </c>
      <c r="P119" s="5">
        <f t="shared" si="5"/>
        <v>1890</v>
      </c>
    </row>
    <row r="120" spans="1:20" ht="15.75" thickBot="1" x14ac:dyDescent="0.3">
      <c r="A120" s="3">
        <v>46107</v>
      </c>
      <c r="B120" s="2" t="s">
        <v>25</v>
      </c>
      <c r="C120" s="2" t="s">
        <v>32</v>
      </c>
      <c r="D120" s="2" t="s">
        <v>39</v>
      </c>
      <c r="E120" s="2" t="s">
        <v>22</v>
      </c>
      <c r="F120" s="2">
        <v>1277955380444250</v>
      </c>
      <c r="G120" s="2">
        <v>1.2024231584645E+17</v>
      </c>
      <c r="H120" s="2">
        <v>1.2024231584646E+17</v>
      </c>
      <c r="I120" s="2">
        <v>1.202423570912E+17</v>
      </c>
      <c r="J120" s="2" t="s">
        <v>24</v>
      </c>
      <c r="K120" s="4">
        <v>8204</v>
      </c>
      <c r="L120">
        <v>322</v>
      </c>
      <c r="M120">
        <v>1161.96</v>
      </c>
      <c r="N120">
        <f t="shared" si="3"/>
        <v>7384</v>
      </c>
      <c r="O120">
        <f t="shared" si="4"/>
        <v>3323</v>
      </c>
      <c r="P120" s="5">
        <f t="shared" si="5"/>
        <v>5415</v>
      </c>
    </row>
    <row r="121" spans="1:20" ht="15.75" thickBot="1" x14ac:dyDescent="0.3">
      <c r="A121" s="3">
        <v>46107</v>
      </c>
      <c r="B121" s="2" t="s">
        <v>43</v>
      </c>
      <c r="C121" s="2" t="s">
        <v>44</v>
      </c>
      <c r="D121" s="2" t="s">
        <v>45</v>
      </c>
      <c r="E121" s="2" t="s">
        <v>22</v>
      </c>
      <c r="F121" s="2">
        <v>1277955380444250</v>
      </c>
      <c r="G121" s="2">
        <v>1.2024263264649E+17</v>
      </c>
      <c r="H121" s="2">
        <v>1.202426326465E+17</v>
      </c>
      <c r="I121" s="2">
        <v>1.2024263264651E+17</v>
      </c>
      <c r="J121" s="2" t="s">
        <v>24</v>
      </c>
      <c r="K121" s="4">
        <v>5669</v>
      </c>
      <c r="L121">
        <v>758</v>
      </c>
      <c r="M121">
        <v>1479.87</v>
      </c>
      <c r="N121">
        <f t="shared" si="3"/>
        <v>5102</v>
      </c>
      <c r="O121">
        <f t="shared" si="4"/>
        <v>2296</v>
      </c>
      <c r="P121" s="5">
        <f t="shared" si="5"/>
        <v>3742</v>
      </c>
      <c r="S121">
        <v>33923</v>
      </c>
      <c r="T121">
        <v>986</v>
      </c>
    </row>
    <row r="122" spans="1:20" ht="15.75" thickBot="1" x14ac:dyDescent="0.3">
      <c r="A122" s="3">
        <v>46107</v>
      </c>
      <c r="B122" s="2" t="s">
        <v>43</v>
      </c>
      <c r="C122" s="2" t="s">
        <v>44</v>
      </c>
      <c r="D122" s="2" t="s">
        <v>45</v>
      </c>
      <c r="E122" s="2" t="s">
        <v>22</v>
      </c>
      <c r="F122" s="2">
        <v>1277955380444250</v>
      </c>
      <c r="G122" s="2">
        <v>1.2024263264649E+17</v>
      </c>
      <c r="H122" s="2">
        <v>1.202426326465E+17</v>
      </c>
      <c r="I122" s="2">
        <v>1.2024263264651E+17</v>
      </c>
      <c r="J122" s="2" t="s">
        <v>46</v>
      </c>
      <c r="K122" s="4">
        <v>9204</v>
      </c>
      <c r="L122">
        <v>666</v>
      </c>
      <c r="M122">
        <v>1576.26</v>
      </c>
      <c r="N122">
        <f t="shared" si="3"/>
        <v>8284</v>
      </c>
      <c r="O122">
        <f t="shared" si="4"/>
        <v>3728</v>
      </c>
      <c r="P122" s="5">
        <f t="shared" si="5"/>
        <v>6075</v>
      </c>
      <c r="S122">
        <v>48</v>
      </c>
      <c r="T122">
        <v>1</v>
      </c>
    </row>
    <row r="123" spans="1:20" ht="15.75" thickBot="1" x14ac:dyDescent="0.3">
      <c r="A123" s="3">
        <v>46108</v>
      </c>
      <c r="B123" s="2" t="s">
        <v>47</v>
      </c>
      <c r="C123" s="2" t="s">
        <v>48</v>
      </c>
      <c r="D123" s="2" t="s">
        <v>49</v>
      </c>
      <c r="E123" s="2" t="s">
        <v>22</v>
      </c>
      <c r="F123" s="2">
        <v>1277955380444250</v>
      </c>
      <c r="G123" s="2">
        <v>1.2024261720294E+17</v>
      </c>
      <c r="H123" s="2">
        <v>1.2024261720296E+17</v>
      </c>
      <c r="I123" s="2">
        <v>1.2024261720295E+17</v>
      </c>
      <c r="J123" s="2" t="s">
        <v>23</v>
      </c>
      <c r="K123" s="4">
        <v>4529</v>
      </c>
      <c r="L123">
        <v>92</v>
      </c>
      <c r="M123">
        <v>1060.69</v>
      </c>
      <c r="N123">
        <f t="shared" si="3"/>
        <v>4076</v>
      </c>
      <c r="O123">
        <f t="shared" si="4"/>
        <v>1834</v>
      </c>
      <c r="P123" s="5">
        <f t="shared" si="5"/>
        <v>2989</v>
      </c>
      <c r="R123">
        <v>103974</v>
      </c>
      <c r="S123">
        <v>562489</v>
      </c>
      <c r="T123">
        <v>26438</v>
      </c>
    </row>
    <row r="124" spans="1:20" ht="15.75" thickBot="1" x14ac:dyDescent="0.3">
      <c r="A124" s="3">
        <v>46108</v>
      </c>
      <c r="B124" s="2" t="s">
        <v>47</v>
      </c>
      <c r="C124" s="2" t="s">
        <v>48</v>
      </c>
      <c r="D124" s="2" t="s">
        <v>49</v>
      </c>
      <c r="E124" s="2" t="s">
        <v>22</v>
      </c>
      <c r="F124" s="2">
        <v>1277955380444250</v>
      </c>
      <c r="G124" s="2">
        <v>1.2024261720294E+17</v>
      </c>
      <c r="H124" s="2">
        <v>1.2024261720296E+17</v>
      </c>
      <c r="I124" s="2">
        <v>1.2024261720295E+17</v>
      </c>
      <c r="J124" s="2" t="s">
        <v>24</v>
      </c>
      <c r="K124" s="4">
        <v>2036</v>
      </c>
      <c r="L124">
        <v>472</v>
      </c>
      <c r="M124">
        <v>291.08999999999997</v>
      </c>
      <c r="N124">
        <f t="shared" si="3"/>
        <v>1832</v>
      </c>
      <c r="O124">
        <f t="shared" si="4"/>
        <v>824</v>
      </c>
      <c r="P124" s="5">
        <f t="shared" si="5"/>
        <v>1344</v>
      </c>
      <c r="R124">
        <v>487104</v>
      </c>
      <c r="S124">
        <v>1340478</v>
      </c>
      <c r="T124">
        <v>181796</v>
      </c>
    </row>
    <row r="125" spans="1:20" ht="15.75" thickBot="1" x14ac:dyDescent="0.3">
      <c r="A125" s="3">
        <v>46108</v>
      </c>
      <c r="B125" s="2" t="s">
        <v>19</v>
      </c>
      <c r="C125" s="2" t="s">
        <v>20</v>
      </c>
      <c r="D125" s="2" t="s">
        <v>21</v>
      </c>
      <c r="E125" s="2" t="s">
        <v>22</v>
      </c>
      <c r="F125" s="2">
        <v>1277955380444250</v>
      </c>
      <c r="G125" s="2">
        <v>1.2024229057228E+17</v>
      </c>
      <c r="H125" s="2">
        <v>1.2024229057229E+17</v>
      </c>
      <c r="I125" s="2">
        <v>1.2024229057227E+17</v>
      </c>
      <c r="J125" s="2" t="s">
        <v>23</v>
      </c>
      <c r="K125" s="4">
        <v>6978</v>
      </c>
      <c r="L125">
        <v>581</v>
      </c>
      <c r="M125">
        <v>1647.62</v>
      </c>
      <c r="N125">
        <f t="shared" si="3"/>
        <v>6280</v>
      </c>
      <c r="O125">
        <f t="shared" si="4"/>
        <v>2826</v>
      </c>
      <c r="P125" s="5">
        <f t="shared" si="5"/>
        <v>4605</v>
      </c>
      <c r="S125">
        <v>245</v>
      </c>
      <c r="T125">
        <v>7</v>
      </c>
    </row>
    <row r="126" spans="1:20" ht="15.75" thickBot="1" x14ac:dyDescent="0.3">
      <c r="A126" s="3">
        <v>46108</v>
      </c>
      <c r="B126" s="2" t="s">
        <v>19</v>
      </c>
      <c r="C126" s="2" t="s">
        <v>20</v>
      </c>
      <c r="D126" s="2" t="s">
        <v>21</v>
      </c>
      <c r="E126" s="2" t="s">
        <v>22</v>
      </c>
      <c r="F126" s="2">
        <v>1277955380444250</v>
      </c>
      <c r="G126" s="2">
        <v>1.2024229057228E+17</v>
      </c>
      <c r="H126" s="2">
        <v>1.2024229057229E+17</v>
      </c>
      <c r="I126" s="2">
        <v>1.2024229057227E+17</v>
      </c>
      <c r="J126" s="2" t="s">
        <v>24</v>
      </c>
      <c r="K126" s="4">
        <v>2253</v>
      </c>
      <c r="L126">
        <v>81</v>
      </c>
      <c r="M126">
        <v>288.52999999999997</v>
      </c>
      <c r="N126">
        <f t="shared" si="3"/>
        <v>2028</v>
      </c>
      <c r="O126">
        <f t="shared" si="4"/>
        <v>913</v>
      </c>
      <c r="P126" s="5">
        <f t="shared" si="5"/>
        <v>1487</v>
      </c>
      <c r="S126">
        <v>56826</v>
      </c>
      <c r="T126">
        <v>238</v>
      </c>
    </row>
    <row r="127" spans="1:20" ht="15.75" thickBot="1" x14ac:dyDescent="0.3">
      <c r="A127" s="3">
        <v>46108</v>
      </c>
      <c r="B127" s="2" t="s">
        <v>19</v>
      </c>
      <c r="C127" s="2" t="s">
        <v>20</v>
      </c>
      <c r="D127" s="2" t="s">
        <v>34</v>
      </c>
      <c r="E127" s="2" t="s">
        <v>22</v>
      </c>
      <c r="F127" s="2">
        <v>1277955380444250</v>
      </c>
      <c r="G127" s="2">
        <v>1.2024229057228E+17</v>
      </c>
      <c r="H127" s="2">
        <v>1.2024229057229E+17</v>
      </c>
      <c r="I127" s="2">
        <v>1.2024229334046E+17</v>
      </c>
      <c r="J127" s="2" t="s">
        <v>23</v>
      </c>
      <c r="K127" s="4">
        <v>1698</v>
      </c>
      <c r="L127">
        <v>213</v>
      </c>
      <c r="M127">
        <v>104.32</v>
      </c>
      <c r="N127">
        <f t="shared" si="3"/>
        <v>1528</v>
      </c>
      <c r="O127">
        <f t="shared" si="4"/>
        <v>688</v>
      </c>
      <c r="P127" s="5">
        <f t="shared" si="5"/>
        <v>1121</v>
      </c>
      <c r="S127">
        <v>155</v>
      </c>
      <c r="T127">
        <v>1</v>
      </c>
    </row>
    <row r="128" spans="1:20" ht="15.75" thickBot="1" x14ac:dyDescent="0.3">
      <c r="A128" s="3">
        <v>46108</v>
      </c>
      <c r="B128" s="2" t="s">
        <v>19</v>
      </c>
      <c r="C128" s="2" t="s">
        <v>20</v>
      </c>
      <c r="D128" s="2" t="s">
        <v>34</v>
      </c>
      <c r="E128" s="2" t="s">
        <v>22</v>
      </c>
      <c r="F128" s="2">
        <v>1277955380444250</v>
      </c>
      <c r="G128" s="2">
        <v>1.2024229057228E+17</v>
      </c>
      <c r="H128" s="2">
        <v>1.2024229057229E+17</v>
      </c>
      <c r="I128" s="2">
        <v>1.2024229334046E+17</v>
      </c>
      <c r="J128" s="2" t="s">
        <v>24</v>
      </c>
      <c r="K128" s="4">
        <v>9454</v>
      </c>
      <c r="L128">
        <v>443</v>
      </c>
      <c r="M128">
        <v>1723.15</v>
      </c>
      <c r="N128">
        <f t="shared" si="3"/>
        <v>8509</v>
      </c>
      <c r="O128">
        <f t="shared" si="4"/>
        <v>3829</v>
      </c>
      <c r="P128" s="5">
        <f t="shared" si="5"/>
        <v>6240</v>
      </c>
      <c r="S128">
        <v>102356</v>
      </c>
      <c r="T128">
        <v>407</v>
      </c>
    </row>
    <row r="129" spans="1:20" ht="15.75" thickBot="1" x14ac:dyDescent="0.3">
      <c r="A129" s="3">
        <v>46108</v>
      </c>
      <c r="B129" s="2" t="s">
        <v>19</v>
      </c>
      <c r="C129" s="2" t="s">
        <v>50</v>
      </c>
      <c r="D129" s="2" t="s">
        <v>51</v>
      </c>
      <c r="E129" s="2" t="s">
        <v>22</v>
      </c>
      <c r="F129" s="2">
        <v>1277955380444250</v>
      </c>
      <c r="G129" s="2">
        <v>1.2024229057228E+17</v>
      </c>
      <c r="H129" s="2">
        <v>1.2024270613878E+17</v>
      </c>
      <c r="I129" s="2">
        <v>1.202427061388E+17</v>
      </c>
      <c r="J129" s="2" t="s">
        <v>23</v>
      </c>
      <c r="K129" s="4">
        <v>3636</v>
      </c>
      <c r="L129">
        <v>254</v>
      </c>
      <c r="M129">
        <v>600.59</v>
      </c>
      <c r="N129">
        <f t="shared" si="3"/>
        <v>3272</v>
      </c>
      <c r="O129">
        <f t="shared" si="4"/>
        <v>1472</v>
      </c>
      <c r="P129" s="5">
        <f t="shared" si="5"/>
        <v>2400</v>
      </c>
      <c r="S129">
        <v>105</v>
      </c>
      <c r="T129">
        <v>2</v>
      </c>
    </row>
    <row r="130" spans="1:20" ht="15.75" thickBot="1" x14ac:dyDescent="0.3">
      <c r="A130" s="3">
        <v>46108</v>
      </c>
      <c r="B130" s="2" t="s">
        <v>19</v>
      </c>
      <c r="C130" s="2" t="s">
        <v>50</v>
      </c>
      <c r="D130" s="2" t="s">
        <v>51</v>
      </c>
      <c r="E130" s="2" t="s">
        <v>22</v>
      </c>
      <c r="F130" s="2">
        <v>1277955380444250</v>
      </c>
      <c r="G130" s="2">
        <v>1.2024229057228E+17</v>
      </c>
      <c r="H130" s="2">
        <v>1.2024270613878E+17</v>
      </c>
      <c r="I130" s="2">
        <v>1.202427061388E+17</v>
      </c>
      <c r="J130" s="2" t="s">
        <v>24</v>
      </c>
      <c r="K130" s="4">
        <v>2457</v>
      </c>
      <c r="L130">
        <v>598</v>
      </c>
      <c r="M130">
        <v>1787.7</v>
      </c>
      <c r="N130">
        <f t="shared" si="3"/>
        <v>2211</v>
      </c>
      <c r="O130">
        <f t="shared" si="4"/>
        <v>995</v>
      </c>
      <c r="P130" s="5">
        <f t="shared" si="5"/>
        <v>1622</v>
      </c>
      <c r="S130">
        <v>115163</v>
      </c>
      <c r="T130">
        <v>402</v>
      </c>
    </row>
    <row r="131" spans="1:20" ht="15.75" thickBot="1" x14ac:dyDescent="0.3">
      <c r="A131" s="3">
        <v>46108</v>
      </c>
      <c r="B131" s="2" t="s">
        <v>19</v>
      </c>
      <c r="C131" s="2" t="s">
        <v>50</v>
      </c>
      <c r="D131" s="2" t="s">
        <v>51</v>
      </c>
      <c r="E131" s="2" t="s">
        <v>22</v>
      </c>
      <c r="F131" s="2">
        <v>1277955380444250</v>
      </c>
      <c r="G131" s="2">
        <v>1.2024229057228E+17</v>
      </c>
      <c r="H131" s="2">
        <v>1.2024270613878E+17</v>
      </c>
      <c r="I131" s="2">
        <v>1.202427061388E+17</v>
      </c>
      <c r="J131" s="2" t="s">
        <v>52</v>
      </c>
      <c r="K131" s="4">
        <v>5587</v>
      </c>
      <c r="L131">
        <v>112</v>
      </c>
      <c r="M131">
        <v>1424.22</v>
      </c>
      <c r="N131">
        <f t="shared" ref="N131:N194" si="6">ROUND(K131*0.9,0)</f>
        <v>5028</v>
      </c>
      <c r="O131">
        <f t="shared" ref="O131:O194" si="7">ROUND(N131*0.45,0)</f>
        <v>2263</v>
      </c>
      <c r="P131" s="5">
        <f t="shared" ref="P131:P194" si="8">ROUND(K131*0.66,0)</f>
        <v>3687</v>
      </c>
      <c r="S131">
        <v>48</v>
      </c>
    </row>
    <row r="132" spans="1:20" ht="15.75" thickBot="1" x14ac:dyDescent="0.3">
      <c r="A132" s="3">
        <v>46108</v>
      </c>
      <c r="B132" s="2" t="s">
        <v>19</v>
      </c>
      <c r="C132" s="2" t="s">
        <v>50</v>
      </c>
      <c r="D132" s="2" t="s">
        <v>53</v>
      </c>
      <c r="E132" s="2" t="s">
        <v>22</v>
      </c>
      <c r="F132" s="2">
        <v>1277955380444250</v>
      </c>
      <c r="G132" s="2">
        <v>1.2024229057228E+17</v>
      </c>
      <c r="H132" s="2">
        <v>1.2024270613878E+17</v>
      </c>
      <c r="I132" s="2">
        <v>1.2024270613881E+17</v>
      </c>
      <c r="J132" s="2" t="s">
        <v>23</v>
      </c>
      <c r="K132" s="4">
        <v>6710</v>
      </c>
      <c r="L132">
        <v>543</v>
      </c>
      <c r="M132">
        <v>536.53</v>
      </c>
      <c r="N132">
        <f t="shared" si="6"/>
        <v>6039</v>
      </c>
      <c r="O132">
        <f t="shared" si="7"/>
        <v>2718</v>
      </c>
      <c r="P132" s="5">
        <f t="shared" si="8"/>
        <v>4429</v>
      </c>
      <c r="S132">
        <v>18</v>
      </c>
    </row>
    <row r="133" spans="1:20" ht="15.75" thickBot="1" x14ac:dyDescent="0.3">
      <c r="A133" s="3">
        <v>46108</v>
      </c>
      <c r="B133" s="2" t="s">
        <v>19</v>
      </c>
      <c r="C133" s="2" t="s">
        <v>50</v>
      </c>
      <c r="D133" s="2" t="s">
        <v>53</v>
      </c>
      <c r="E133" s="2" t="s">
        <v>22</v>
      </c>
      <c r="F133" s="2">
        <v>1277955380444250</v>
      </c>
      <c r="G133" s="2">
        <v>1.2024229057228E+17</v>
      </c>
      <c r="H133" s="2">
        <v>1.2024270613878E+17</v>
      </c>
      <c r="I133" s="2">
        <v>1.2024270613881E+17</v>
      </c>
      <c r="J133" s="2" t="s">
        <v>24</v>
      </c>
      <c r="K133" s="4">
        <v>4869</v>
      </c>
      <c r="L133">
        <v>972</v>
      </c>
      <c r="M133">
        <v>688.71</v>
      </c>
      <c r="N133">
        <f t="shared" si="6"/>
        <v>4382</v>
      </c>
      <c r="O133">
        <f t="shared" si="7"/>
        <v>1972</v>
      </c>
      <c r="P133" s="5">
        <f t="shared" si="8"/>
        <v>3214</v>
      </c>
      <c r="S133">
        <v>12987</v>
      </c>
      <c r="T133">
        <v>49</v>
      </c>
    </row>
    <row r="134" spans="1:20" ht="15.75" thickBot="1" x14ac:dyDescent="0.3">
      <c r="A134" s="3">
        <v>46108</v>
      </c>
      <c r="B134" s="2" t="s">
        <v>19</v>
      </c>
      <c r="C134" s="2" t="s">
        <v>50</v>
      </c>
      <c r="D134" s="2" t="s">
        <v>53</v>
      </c>
      <c r="E134" s="2" t="s">
        <v>22</v>
      </c>
      <c r="F134" s="2">
        <v>1277955380444250</v>
      </c>
      <c r="G134" s="2">
        <v>1.2024229057228E+17</v>
      </c>
      <c r="H134" s="2">
        <v>1.2024270613878E+17</v>
      </c>
      <c r="I134" s="2">
        <v>1.2024270613881E+17</v>
      </c>
      <c r="J134" s="2" t="s">
        <v>52</v>
      </c>
      <c r="K134" s="4">
        <v>4761</v>
      </c>
      <c r="L134">
        <v>133</v>
      </c>
      <c r="M134">
        <v>743.65</v>
      </c>
      <c r="N134">
        <f t="shared" si="6"/>
        <v>4285</v>
      </c>
      <c r="O134">
        <f t="shared" si="7"/>
        <v>1928</v>
      </c>
      <c r="P134" s="5">
        <f t="shared" si="8"/>
        <v>3142</v>
      </c>
      <c r="S134">
        <v>59</v>
      </c>
      <c r="T134">
        <v>1</v>
      </c>
    </row>
    <row r="135" spans="1:20" ht="15.75" thickBot="1" x14ac:dyDescent="0.3">
      <c r="A135" s="3">
        <v>46108</v>
      </c>
      <c r="B135" s="2" t="s">
        <v>19</v>
      </c>
      <c r="C135" s="2" t="s">
        <v>50</v>
      </c>
      <c r="D135" s="2" t="s">
        <v>54</v>
      </c>
      <c r="E135" s="2" t="s">
        <v>22</v>
      </c>
      <c r="F135" s="2">
        <v>1277955380444250</v>
      </c>
      <c r="G135" s="2">
        <v>1.2024229057228E+17</v>
      </c>
      <c r="H135" s="2">
        <v>1.2024270613878E+17</v>
      </c>
      <c r="I135" s="2">
        <v>1.2024270623134E+17</v>
      </c>
      <c r="J135" s="2" t="s">
        <v>23</v>
      </c>
      <c r="K135" s="4">
        <v>4706</v>
      </c>
      <c r="L135">
        <v>856</v>
      </c>
      <c r="M135">
        <v>1247.72</v>
      </c>
      <c r="N135">
        <f t="shared" si="6"/>
        <v>4235</v>
      </c>
      <c r="O135">
        <f t="shared" si="7"/>
        <v>1906</v>
      </c>
      <c r="P135" s="5">
        <f t="shared" si="8"/>
        <v>3106</v>
      </c>
      <c r="S135">
        <v>45</v>
      </c>
    </row>
    <row r="136" spans="1:20" ht="15.75" thickBot="1" x14ac:dyDescent="0.3">
      <c r="A136" s="3">
        <v>46108</v>
      </c>
      <c r="B136" s="2" t="s">
        <v>19</v>
      </c>
      <c r="C136" s="2" t="s">
        <v>50</v>
      </c>
      <c r="D136" s="2" t="s">
        <v>54</v>
      </c>
      <c r="E136" s="2" t="s">
        <v>22</v>
      </c>
      <c r="F136" s="2">
        <v>1277955380444250</v>
      </c>
      <c r="G136" s="2">
        <v>1.2024229057228E+17</v>
      </c>
      <c r="H136" s="2">
        <v>1.2024270613878E+17</v>
      </c>
      <c r="I136" s="2">
        <v>1.2024270623134E+17</v>
      </c>
      <c r="J136" s="2" t="s">
        <v>24</v>
      </c>
      <c r="K136" s="4">
        <v>5479</v>
      </c>
      <c r="L136">
        <v>177</v>
      </c>
      <c r="M136">
        <v>839.29</v>
      </c>
      <c r="N136">
        <f t="shared" si="6"/>
        <v>4931</v>
      </c>
      <c r="O136">
        <f t="shared" si="7"/>
        <v>2219</v>
      </c>
      <c r="P136" s="5">
        <f t="shared" si="8"/>
        <v>3616</v>
      </c>
      <c r="S136">
        <v>77160</v>
      </c>
      <c r="T136">
        <v>252</v>
      </c>
    </row>
    <row r="137" spans="1:20" ht="15.75" thickBot="1" x14ac:dyDescent="0.3">
      <c r="A137" s="3">
        <v>46108</v>
      </c>
      <c r="B137" s="2" t="s">
        <v>19</v>
      </c>
      <c r="C137" s="2" t="s">
        <v>50</v>
      </c>
      <c r="D137" s="2" t="s">
        <v>54</v>
      </c>
      <c r="E137" s="2" t="s">
        <v>22</v>
      </c>
      <c r="F137" s="2">
        <v>1277955380444250</v>
      </c>
      <c r="G137" s="2">
        <v>1.2024229057228E+17</v>
      </c>
      <c r="H137" s="2">
        <v>1.2024270613878E+17</v>
      </c>
      <c r="I137" s="2">
        <v>1.2024270623134E+17</v>
      </c>
      <c r="J137" s="2" t="s">
        <v>52</v>
      </c>
      <c r="K137" s="4">
        <v>4057</v>
      </c>
      <c r="L137">
        <v>478</v>
      </c>
      <c r="M137">
        <v>458.73</v>
      </c>
      <c r="N137">
        <f t="shared" si="6"/>
        <v>3651</v>
      </c>
      <c r="O137">
        <f t="shared" si="7"/>
        <v>1643</v>
      </c>
      <c r="P137" s="5">
        <f t="shared" si="8"/>
        <v>2678</v>
      </c>
      <c r="S137">
        <v>31</v>
      </c>
      <c r="T137">
        <v>1</v>
      </c>
    </row>
    <row r="138" spans="1:20" ht="15.75" thickBot="1" x14ac:dyDescent="0.3">
      <c r="A138" s="3">
        <v>46108</v>
      </c>
      <c r="B138" s="2" t="s">
        <v>25</v>
      </c>
      <c r="C138" s="2" t="s">
        <v>26</v>
      </c>
      <c r="D138" s="2" t="s">
        <v>35</v>
      </c>
      <c r="E138" s="2" t="s">
        <v>22</v>
      </c>
      <c r="F138" s="2">
        <v>1277955380444250</v>
      </c>
      <c r="G138" s="2">
        <v>1.2024231584645E+17</v>
      </c>
      <c r="H138" s="2">
        <v>1.2024231618176E+17</v>
      </c>
      <c r="I138" s="2">
        <v>1.2024235726836E+17</v>
      </c>
      <c r="J138" s="2" t="s">
        <v>23</v>
      </c>
      <c r="K138" s="4">
        <v>2412</v>
      </c>
      <c r="L138">
        <v>451</v>
      </c>
      <c r="M138">
        <v>1884.86</v>
      </c>
      <c r="N138">
        <f t="shared" si="6"/>
        <v>2171</v>
      </c>
      <c r="O138">
        <f t="shared" si="7"/>
        <v>977</v>
      </c>
      <c r="P138" s="5">
        <f t="shared" si="8"/>
        <v>1592</v>
      </c>
      <c r="S138">
        <v>3661</v>
      </c>
      <c r="T138">
        <v>334</v>
      </c>
    </row>
    <row r="139" spans="1:20" ht="15.75" thickBot="1" x14ac:dyDescent="0.3">
      <c r="A139" s="3">
        <v>46108</v>
      </c>
      <c r="B139" s="2" t="s">
        <v>25</v>
      </c>
      <c r="C139" s="2" t="s">
        <v>26</v>
      </c>
      <c r="D139" s="2" t="s">
        <v>35</v>
      </c>
      <c r="E139" s="2" t="s">
        <v>22</v>
      </c>
      <c r="F139" s="2">
        <v>1277955380444250</v>
      </c>
      <c r="G139" s="2">
        <v>1.2024231584645E+17</v>
      </c>
      <c r="H139" s="2">
        <v>1.2024231618176E+17</v>
      </c>
      <c r="I139" s="2">
        <v>1.2024235726836E+17</v>
      </c>
      <c r="J139" s="2" t="s">
        <v>24</v>
      </c>
      <c r="K139" s="4">
        <v>6852</v>
      </c>
      <c r="L139">
        <v>691</v>
      </c>
      <c r="M139">
        <v>1524.59</v>
      </c>
      <c r="N139">
        <f t="shared" si="6"/>
        <v>6167</v>
      </c>
      <c r="O139">
        <f t="shared" si="7"/>
        <v>2775</v>
      </c>
      <c r="P139" s="5">
        <f t="shared" si="8"/>
        <v>4522</v>
      </c>
      <c r="S139">
        <v>4341</v>
      </c>
      <c r="T139">
        <v>424</v>
      </c>
    </row>
    <row r="140" spans="1:20" ht="15.75" thickBot="1" x14ac:dyDescent="0.3">
      <c r="A140" s="3">
        <v>46108</v>
      </c>
      <c r="B140" s="2" t="s">
        <v>25</v>
      </c>
      <c r="C140" s="2" t="s">
        <v>40</v>
      </c>
      <c r="D140" s="2" t="s">
        <v>41</v>
      </c>
      <c r="E140" s="2" t="s">
        <v>22</v>
      </c>
      <c r="F140" s="2">
        <v>1277955380444250</v>
      </c>
      <c r="G140" s="2">
        <v>1.2024231584645E+17</v>
      </c>
      <c r="H140" s="2">
        <v>1.2024246508913E+17</v>
      </c>
      <c r="I140" s="2">
        <v>1.2024246508915E+17</v>
      </c>
      <c r="J140" s="2" t="s">
        <v>23</v>
      </c>
      <c r="K140" s="4">
        <v>5180</v>
      </c>
      <c r="L140">
        <v>288</v>
      </c>
      <c r="M140">
        <v>142.30000000000001</v>
      </c>
      <c r="N140">
        <f t="shared" si="6"/>
        <v>4662</v>
      </c>
      <c r="O140">
        <f t="shared" si="7"/>
        <v>2098</v>
      </c>
      <c r="P140" s="5">
        <f t="shared" si="8"/>
        <v>3419</v>
      </c>
    </row>
    <row r="141" spans="1:20" ht="15.75" thickBot="1" x14ac:dyDescent="0.3">
      <c r="A141" s="3">
        <v>46108</v>
      </c>
      <c r="B141" s="2" t="s">
        <v>25</v>
      </c>
      <c r="C141" s="2" t="s">
        <v>40</v>
      </c>
      <c r="D141" s="2" t="s">
        <v>41</v>
      </c>
      <c r="E141" s="2" t="s">
        <v>22</v>
      </c>
      <c r="F141" s="2">
        <v>1277955380444250</v>
      </c>
      <c r="G141" s="2">
        <v>1.2024231584645E+17</v>
      </c>
      <c r="H141" s="2">
        <v>1.2024246508913E+17</v>
      </c>
      <c r="I141" s="2">
        <v>1.2024246508915E+17</v>
      </c>
      <c r="J141" s="2" t="s">
        <v>24</v>
      </c>
      <c r="K141" s="4">
        <v>7603</v>
      </c>
      <c r="L141">
        <v>378</v>
      </c>
      <c r="M141">
        <v>591</v>
      </c>
      <c r="N141">
        <f t="shared" si="6"/>
        <v>6843</v>
      </c>
      <c r="O141">
        <f t="shared" si="7"/>
        <v>3079</v>
      </c>
      <c r="P141" s="5">
        <f t="shared" si="8"/>
        <v>5018</v>
      </c>
    </row>
    <row r="142" spans="1:20" ht="15.75" thickBot="1" x14ac:dyDescent="0.3">
      <c r="A142" s="3">
        <v>46108</v>
      </c>
      <c r="B142" s="2" t="s">
        <v>25</v>
      </c>
      <c r="C142" s="2" t="s">
        <v>40</v>
      </c>
      <c r="D142" s="2" t="s">
        <v>42</v>
      </c>
      <c r="E142" s="2" t="s">
        <v>22</v>
      </c>
      <c r="F142" s="2">
        <v>1277955380444250</v>
      </c>
      <c r="G142" s="2">
        <v>1.2024231584645E+17</v>
      </c>
      <c r="H142" s="2">
        <v>1.2024246508913E+17</v>
      </c>
      <c r="I142" s="2">
        <v>1.2024246532294E+17</v>
      </c>
      <c r="J142" s="2" t="s">
        <v>23</v>
      </c>
      <c r="K142" s="4">
        <v>2621</v>
      </c>
      <c r="L142">
        <v>738</v>
      </c>
      <c r="M142">
        <v>1691.79</v>
      </c>
      <c r="N142">
        <f t="shared" si="6"/>
        <v>2359</v>
      </c>
      <c r="O142">
        <f t="shared" si="7"/>
        <v>1062</v>
      </c>
      <c r="P142" s="5">
        <f t="shared" si="8"/>
        <v>1730</v>
      </c>
    </row>
    <row r="143" spans="1:20" ht="15.75" thickBot="1" x14ac:dyDescent="0.3">
      <c r="A143" s="3">
        <v>46108</v>
      </c>
      <c r="B143" s="2" t="s">
        <v>25</v>
      </c>
      <c r="C143" s="2" t="s">
        <v>40</v>
      </c>
      <c r="D143" s="2" t="s">
        <v>42</v>
      </c>
      <c r="E143" s="2" t="s">
        <v>22</v>
      </c>
      <c r="F143" s="2">
        <v>1277955380444250</v>
      </c>
      <c r="G143" s="2">
        <v>1.2024231584645E+17</v>
      </c>
      <c r="H143" s="2">
        <v>1.2024246508913E+17</v>
      </c>
      <c r="I143" s="2">
        <v>1.2024246532294E+17</v>
      </c>
      <c r="J143" s="2" t="s">
        <v>24</v>
      </c>
      <c r="K143" s="4">
        <v>4684</v>
      </c>
      <c r="L143">
        <v>604</v>
      </c>
      <c r="M143">
        <v>366.27</v>
      </c>
      <c r="N143">
        <f t="shared" si="6"/>
        <v>4216</v>
      </c>
      <c r="O143">
        <f t="shared" si="7"/>
        <v>1897</v>
      </c>
      <c r="P143" s="5">
        <f t="shared" si="8"/>
        <v>3091</v>
      </c>
    </row>
    <row r="144" spans="1:20" ht="15.75" thickBot="1" x14ac:dyDescent="0.3">
      <c r="A144" s="3">
        <v>46108</v>
      </c>
      <c r="B144" s="2" t="s">
        <v>25</v>
      </c>
      <c r="C144" s="2" t="s">
        <v>28</v>
      </c>
      <c r="D144" s="2" t="s">
        <v>37</v>
      </c>
      <c r="E144" s="2" t="s">
        <v>22</v>
      </c>
      <c r="F144" s="2">
        <v>1277955380444250</v>
      </c>
      <c r="G144" s="2">
        <v>1.2024231584645E+17</v>
      </c>
      <c r="H144" s="2">
        <v>1.2024231613167E+17</v>
      </c>
      <c r="I144" s="2">
        <v>1.2024235723042E+17</v>
      </c>
      <c r="J144" s="2" t="s">
        <v>23</v>
      </c>
      <c r="K144" s="4">
        <v>4429</v>
      </c>
      <c r="L144">
        <v>878</v>
      </c>
      <c r="M144">
        <v>1121.31</v>
      </c>
      <c r="N144">
        <f t="shared" si="6"/>
        <v>3986</v>
      </c>
      <c r="O144">
        <f t="shared" si="7"/>
        <v>1794</v>
      </c>
      <c r="P144" s="5">
        <f t="shared" si="8"/>
        <v>2923</v>
      </c>
      <c r="S144">
        <v>4695</v>
      </c>
      <c r="T144">
        <v>542</v>
      </c>
    </row>
    <row r="145" spans="1:20" ht="15.75" thickBot="1" x14ac:dyDescent="0.3">
      <c r="A145" s="3">
        <v>46108</v>
      </c>
      <c r="B145" s="2" t="s">
        <v>25</v>
      </c>
      <c r="C145" s="2" t="s">
        <v>28</v>
      </c>
      <c r="D145" s="2" t="s">
        <v>37</v>
      </c>
      <c r="E145" s="2" t="s">
        <v>22</v>
      </c>
      <c r="F145" s="2">
        <v>1277955380444250</v>
      </c>
      <c r="G145" s="2">
        <v>1.2024231584645E+17</v>
      </c>
      <c r="H145" s="2">
        <v>1.2024231613167E+17</v>
      </c>
      <c r="I145" s="2">
        <v>1.2024235723042E+17</v>
      </c>
      <c r="J145" s="2" t="s">
        <v>24</v>
      </c>
      <c r="K145" s="4">
        <v>8732</v>
      </c>
      <c r="L145">
        <v>532</v>
      </c>
      <c r="M145">
        <v>762.06</v>
      </c>
      <c r="N145">
        <f t="shared" si="6"/>
        <v>7859</v>
      </c>
      <c r="O145">
        <f t="shared" si="7"/>
        <v>3537</v>
      </c>
      <c r="P145" s="5">
        <f t="shared" si="8"/>
        <v>5763</v>
      </c>
      <c r="S145">
        <v>7627</v>
      </c>
      <c r="T145">
        <v>417</v>
      </c>
    </row>
    <row r="146" spans="1:20" ht="15.75" thickBot="1" x14ac:dyDescent="0.3">
      <c r="A146" s="3">
        <v>46108</v>
      </c>
      <c r="B146" s="2" t="s">
        <v>25</v>
      </c>
      <c r="C146" s="2" t="s">
        <v>30</v>
      </c>
      <c r="D146" s="2" t="s">
        <v>38</v>
      </c>
      <c r="E146" s="2" t="s">
        <v>22</v>
      </c>
      <c r="F146" s="2">
        <v>1277955380444250</v>
      </c>
      <c r="G146" s="2">
        <v>1.2024231584645E+17</v>
      </c>
      <c r="H146" s="2">
        <v>1.2024231592817E+17</v>
      </c>
      <c r="I146" s="2">
        <v>1.202423571795E+17</v>
      </c>
      <c r="J146" s="2" t="s">
        <v>23</v>
      </c>
      <c r="K146" s="4">
        <v>8553</v>
      </c>
      <c r="L146">
        <v>450</v>
      </c>
      <c r="M146">
        <v>360.44</v>
      </c>
      <c r="N146">
        <f t="shared" si="6"/>
        <v>7698</v>
      </c>
      <c r="O146">
        <f t="shared" si="7"/>
        <v>3464</v>
      </c>
      <c r="P146" s="5">
        <f t="shared" si="8"/>
        <v>5645</v>
      </c>
      <c r="S146">
        <v>5378</v>
      </c>
      <c r="T146">
        <v>539</v>
      </c>
    </row>
    <row r="147" spans="1:20" ht="15.75" thickBot="1" x14ac:dyDescent="0.3">
      <c r="A147" s="3">
        <v>46108</v>
      </c>
      <c r="B147" s="2" t="s">
        <v>25</v>
      </c>
      <c r="C147" s="2" t="s">
        <v>30</v>
      </c>
      <c r="D147" s="2" t="s">
        <v>38</v>
      </c>
      <c r="E147" s="2" t="s">
        <v>22</v>
      </c>
      <c r="F147" s="2">
        <v>1277955380444250</v>
      </c>
      <c r="G147" s="2">
        <v>1.2024231584645E+17</v>
      </c>
      <c r="H147" s="2">
        <v>1.2024231592817E+17</v>
      </c>
      <c r="I147" s="2">
        <v>1.202423571795E+17</v>
      </c>
      <c r="J147" s="2" t="s">
        <v>24</v>
      </c>
      <c r="K147" s="4">
        <v>5967</v>
      </c>
      <c r="L147">
        <v>904</v>
      </c>
      <c r="M147">
        <v>720.22</v>
      </c>
      <c r="N147">
        <f t="shared" si="6"/>
        <v>5370</v>
      </c>
      <c r="O147">
        <f t="shared" si="7"/>
        <v>2417</v>
      </c>
      <c r="P147" s="5">
        <f t="shared" si="8"/>
        <v>3938</v>
      </c>
      <c r="S147">
        <v>7224</v>
      </c>
      <c r="T147">
        <v>470</v>
      </c>
    </row>
    <row r="148" spans="1:20" ht="15.75" thickBot="1" x14ac:dyDescent="0.3">
      <c r="A148" s="3">
        <v>46108</v>
      </c>
      <c r="B148" s="2" t="s">
        <v>25</v>
      </c>
      <c r="C148" s="2" t="s">
        <v>32</v>
      </c>
      <c r="D148" s="2" t="s">
        <v>39</v>
      </c>
      <c r="E148" s="2" t="s">
        <v>22</v>
      </c>
      <c r="F148" s="2">
        <v>1277955380444250</v>
      </c>
      <c r="G148" s="2">
        <v>1.2024231584645E+17</v>
      </c>
      <c r="H148" s="2">
        <v>1.2024231584646E+17</v>
      </c>
      <c r="I148" s="2">
        <v>1.202423570912E+17</v>
      </c>
      <c r="J148" s="2" t="s">
        <v>23</v>
      </c>
      <c r="K148" s="4">
        <v>4508</v>
      </c>
      <c r="L148">
        <v>233</v>
      </c>
      <c r="M148">
        <v>1142.73</v>
      </c>
      <c r="N148">
        <f t="shared" si="6"/>
        <v>4057</v>
      </c>
      <c r="O148">
        <f t="shared" si="7"/>
        <v>1826</v>
      </c>
      <c r="P148" s="5">
        <f t="shared" si="8"/>
        <v>2975</v>
      </c>
    </row>
    <row r="149" spans="1:20" ht="15.75" thickBot="1" x14ac:dyDescent="0.3">
      <c r="A149" s="3">
        <v>46108</v>
      </c>
      <c r="B149" s="2" t="s">
        <v>25</v>
      </c>
      <c r="C149" s="2" t="s">
        <v>32</v>
      </c>
      <c r="D149" s="2" t="s">
        <v>39</v>
      </c>
      <c r="E149" s="2" t="s">
        <v>22</v>
      </c>
      <c r="F149" s="2">
        <v>1277955380444250</v>
      </c>
      <c r="G149" s="2">
        <v>1.2024231584645E+17</v>
      </c>
      <c r="H149" s="2">
        <v>1.2024231584646E+17</v>
      </c>
      <c r="I149" s="2">
        <v>1.202423570912E+17</v>
      </c>
      <c r="J149" s="2" t="s">
        <v>24</v>
      </c>
      <c r="K149" s="4">
        <v>9328</v>
      </c>
      <c r="L149">
        <v>275</v>
      </c>
      <c r="M149">
        <v>1059.01</v>
      </c>
      <c r="N149">
        <f t="shared" si="6"/>
        <v>8395</v>
      </c>
      <c r="O149">
        <f t="shared" si="7"/>
        <v>3778</v>
      </c>
      <c r="P149" s="5">
        <f t="shared" si="8"/>
        <v>6156</v>
      </c>
    </row>
    <row r="150" spans="1:20" ht="15.75" thickBot="1" x14ac:dyDescent="0.3">
      <c r="A150" s="3">
        <v>46108</v>
      </c>
      <c r="B150" s="2" t="s">
        <v>43</v>
      </c>
      <c r="C150" s="2" t="s">
        <v>44</v>
      </c>
      <c r="D150" s="2" t="s">
        <v>45</v>
      </c>
      <c r="E150" s="2" t="s">
        <v>22</v>
      </c>
      <c r="F150" s="2">
        <v>1277955380444250</v>
      </c>
      <c r="G150" s="2">
        <v>1.2024263264649E+17</v>
      </c>
      <c r="H150" s="2">
        <v>1.202426326465E+17</v>
      </c>
      <c r="I150" s="2">
        <v>1.2024263264651E+17</v>
      </c>
      <c r="J150" s="2" t="s">
        <v>24</v>
      </c>
      <c r="K150" s="4">
        <v>3424</v>
      </c>
      <c r="L150">
        <v>134</v>
      </c>
      <c r="M150">
        <v>1186.93</v>
      </c>
      <c r="N150">
        <f t="shared" si="6"/>
        <v>3082</v>
      </c>
      <c r="O150">
        <f t="shared" si="7"/>
        <v>1387</v>
      </c>
      <c r="P150" s="5">
        <f t="shared" si="8"/>
        <v>2260</v>
      </c>
      <c r="S150">
        <v>18891</v>
      </c>
      <c r="T150">
        <v>1025</v>
      </c>
    </row>
    <row r="151" spans="1:20" ht="15.75" thickBot="1" x14ac:dyDescent="0.3">
      <c r="A151" s="3">
        <v>46108</v>
      </c>
      <c r="B151" s="2" t="s">
        <v>43</v>
      </c>
      <c r="C151" s="2" t="s">
        <v>44</v>
      </c>
      <c r="D151" s="2" t="s">
        <v>45</v>
      </c>
      <c r="E151" s="2" t="s">
        <v>22</v>
      </c>
      <c r="F151" s="2">
        <v>1277955380444250</v>
      </c>
      <c r="G151" s="2">
        <v>1.2024263264649E+17</v>
      </c>
      <c r="H151" s="2">
        <v>1.202426326465E+17</v>
      </c>
      <c r="I151" s="2">
        <v>1.2024263264651E+17</v>
      </c>
      <c r="J151" s="2" t="s">
        <v>46</v>
      </c>
      <c r="K151" s="4">
        <v>2526</v>
      </c>
      <c r="L151">
        <v>286</v>
      </c>
      <c r="M151">
        <v>1352.39</v>
      </c>
      <c r="N151">
        <f t="shared" si="6"/>
        <v>2273</v>
      </c>
      <c r="O151">
        <f t="shared" si="7"/>
        <v>1023</v>
      </c>
      <c r="P151" s="5">
        <f t="shared" si="8"/>
        <v>1667</v>
      </c>
      <c r="S151">
        <v>50</v>
      </c>
      <c r="T151">
        <v>1</v>
      </c>
    </row>
    <row r="152" spans="1:20" ht="15.75" thickBot="1" x14ac:dyDescent="0.3">
      <c r="A152" s="3">
        <v>46109</v>
      </c>
      <c r="B152" s="2" t="s">
        <v>47</v>
      </c>
      <c r="C152" s="2" t="s">
        <v>48</v>
      </c>
      <c r="D152" s="2" t="s">
        <v>49</v>
      </c>
      <c r="E152" s="2" t="s">
        <v>22</v>
      </c>
      <c r="F152" s="2">
        <v>1277955380444250</v>
      </c>
      <c r="G152" s="2">
        <v>1.2024261720294E+17</v>
      </c>
      <c r="H152" s="2">
        <v>1.2024261720296E+17</v>
      </c>
      <c r="I152" s="2">
        <v>1.2024261720295E+17</v>
      </c>
      <c r="J152" s="2" t="s">
        <v>23</v>
      </c>
      <c r="K152" s="4">
        <v>2052</v>
      </c>
      <c r="L152">
        <v>977</v>
      </c>
      <c r="M152">
        <v>388.23</v>
      </c>
      <c r="N152">
        <f t="shared" si="6"/>
        <v>1847</v>
      </c>
      <c r="O152">
        <f t="shared" si="7"/>
        <v>831</v>
      </c>
      <c r="P152" s="5">
        <f t="shared" si="8"/>
        <v>1354</v>
      </c>
      <c r="R152">
        <v>76437</v>
      </c>
      <c r="S152">
        <v>487286</v>
      </c>
      <c r="T152">
        <v>51673</v>
      </c>
    </row>
    <row r="153" spans="1:20" ht="15.75" thickBot="1" x14ac:dyDescent="0.3">
      <c r="A153" s="3">
        <v>46109</v>
      </c>
      <c r="B153" s="2" t="s">
        <v>47</v>
      </c>
      <c r="C153" s="2" t="s">
        <v>48</v>
      </c>
      <c r="D153" s="2" t="s">
        <v>49</v>
      </c>
      <c r="E153" s="2" t="s">
        <v>22</v>
      </c>
      <c r="F153" s="2">
        <v>1277955380444250</v>
      </c>
      <c r="G153" s="2">
        <v>1.2024261720294E+17</v>
      </c>
      <c r="H153" s="2">
        <v>1.2024261720296E+17</v>
      </c>
      <c r="I153" s="2">
        <v>1.2024261720295E+17</v>
      </c>
      <c r="J153" s="2" t="s">
        <v>24</v>
      </c>
      <c r="K153" s="4">
        <v>4851</v>
      </c>
      <c r="L153">
        <v>316</v>
      </c>
      <c r="M153">
        <v>1755.31</v>
      </c>
      <c r="N153">
        <f t="shared" si="6"/>
        <v>4366</v>
      </c>
      <c r="O153">
        <f t="shared" si="7"/>
        <v>1965</v>
      </c>
      <c r="P153" s="5">
        <f t="shared" si="8"/>
        <v>3202</v>
      </c>
      <c r="R153">
        <v>602502</v>
      </c>
      <c r="S153">
        <v>1342269</v>
      </c>
      <c r="T153">
        <v>370696</v>
      </c>
    </row>
    <row r="154" spans="1:20" ht="15.75" thickBot="1" x14ac:dyDescent="0.3">
      <c r="A154" s="3">
        <v>46109</v>
      </c>
      <c r="B154" s="2" t="s">
        <v>19</v>
      </c>
      <c r="C154" s="2" t="s">
        <v>20</v>
      </c>
      <c r="D154" s="2" t="s">
        <v>21</v>
      </c>
      <c r="E154" s="2" t="s">
        <v>22</v>
      </c>
      <c r="F154" s="2">
        <v>1277955380444250</v>
      </c>
      <c r="G154" s="2">
        <v>1.2024229057228E+17</v>
      </c>
      <c r="H154" s="2">
        <v>1.2024229057229E+17</v>
      </c>
      <c r="I154" s="2">
        <v>1.2024229057227E+17</v>
      </c>
      <c r="J154" s="2" t="s">
        <v>23</v>
      </c>
      <c r="K154" s="4">
        <v>4006</v>
      </c>
      <c r="L154">
        <v>489</v>
      </c>
      <c r="M154">
        <v>501.64</v>
      </c>
      <c r="N154">
        <f t="shared" si="6"/>
        <v>3605</v>
      </c>
      <c r="O154">
        <f t="shared" si="7"/>
        <v>1622</v>
      </c>
      <c r="P154" s="5">
        <f t="shared" si="8"/>
        <v>2644</v>
      </c>
      <c r="S154">
        <v>481</v>
      </c>
      <c r="T154">
        <v>5</v>
      </c>
    </row>
    <row r="155" spans="1:20" ht="15.75" thickBot="1" x14ac:dyDescent="0.3">
      <c r="A155" s="3">
        <v>46109</v>
      </c>
      <c r="B155" s="2" t="s">
        <v>19</v>
      </c>
      <c r="C155" s="2" t="s">
        <v>20</v>
      </c>
      <c r="D155" s="2" t="s">
        <v>21</v>
      </c>
      <c r="E155" s="2" t="s">
        <v>22</v>
      </c>
      <c r="F155" s="2">
        <v>1277955380444250</v>
      </c>
      <c r="G155" s="2">
        <v>1.2024229057228E+17</v>
      </c>
      <c r="H155" s="2">
        <v>1.2024229057229E+17</v>
      </c>
      <c r="I155" s="2">
        <v>1.2024229057227E+17</v>
      </c>
      <c r="J155" s="2" t="s">
        <v>24</v>
      </c>
      <c r="K155" s="4">
        <v>5598</v>
      </c>
      <c r="L155">
        <v>860</v>
      </c>
      <c r="M155">
        <v>1453.16</v>
      </c>
      <c r="N155">
        <f t="shared" si="6"/>
        <v>5038</v>
      </c>
      <c r="O155">
        <f t="shared" si="7"/>
        <v>2267</v>
      </c>
      <c r="P155" s="5">
        <f t="shared" si="8"/>
        <v>3695</v>
      </c>
      <c r="S155">
        <v>71213</v>
      </c>
      <c r="T155">
        <v>298</v>
      </c>
    </row>
    <row r="156" spans="1:20" ht="15.75" thickBot="1" x14ac:dyDescent="0.3">
      <c r="A156" s="3">
        <v>46109</v>
      </c>
      <c r="B156" s="2" t="s">
        <v>19</v>
      </c>
      <c r="C156" s="2" t="s">
        <v>20</v>
      </c>
      <c r="D156" s="2" t="s">
        <v>34</v>
      </c>
      <c r="E156" s="2" t="s">
        <v>22</v>
      </c>
      <c r="F156" s="2">
        <v>1277955380444250</v>
      </c>
      <c r="G156" s="2">
        <v>1.2024229057228E+17</v>
      </c>
      <c r="H156" s="2">
        <v>1.2024229057229E+17</v>
      </c>
      <c r="I156" s="2">
        <v>1.2024229334046E+17</v>
      </c>
      <c r="J156" s="2" t="s">
        <v>23</v>
      </c>
      <c r="K156" s="4">
        <v>1807</v>
      </c>
      <c r="L156">
        <v>196</v>
      </c>
      <c r="M156">
        <v>758.81</v>
      </c>
      <c r="N156">
        <f t="shared" si="6"/>
        <v>1626</v>
      </c>
      <c r="O156">
        <f t="shared" si="7"/>
        <v>732</v>
      </c>
      <c r="P156" s="5">
        <f t="shared" si="8"/>
        <v>1193</v>
      </c>
      <c r="S156">
        <v>243</v>
      </c>
      <c r="T156">
        <v>2</v>
      </c>
    </row>
    <row r="157" spans="1:20" ht="15.75" thickBot="1" x14ac:dyDescent="0.3">
      <c r="A157" s="3">
        <v>46109</v>
      </c>
      <c r="B157" s="2" t="s">
        <v>19</v>
      </c>
      <c r="C157" s="2" t="s">
        <v>20</v>
      </c>
      <c r="D157" s="2" t="s">
        <v>34</v>
      </c>
      <c r="E157" s="2" t="s">
        <v>22</v>
      </c>
      <c r="F157" s="2">
        <v>1277955380444250</v>
      </c>
      <c r="G157" s="2">
        <v>1.2024229057228E+17</v>
      </c>
      <c r="H157" s="2">
        <v>1.2024229057229E+17</v>
      </c>
      <c r="I157" s="2">
        <v>1.2024229334046E+17</v>
      </c>
      <c r="J157" s="2" t="s">
        <v>24</v>
      </c>
      <c r="K157" s="4">
        <v>4358</v>
      </c>
      <c r="L157">
        <v>305</v>
      </c>
      <c r="M157">
        <v>1040.3699999999999</v>
      </c>
      <c r="N157">
        <f t="shared" si="6"/>
        <v>3922</v>
      </c>
      <c r="O157">
        <f t="shared" si="7"/>
        <v>1765</v>
      </c>
      <c r="P157" s="5">
        <f t="shared" si="8"/>
        <v>2876</v>
      </c>
      <c r="S157">
        <v>89973</v>
      </c>
      <c r="T157">
        <v>427</v>
      </c>
    </row>
    <row r="158" spans="1:20" ht="15.75" thickBot="1" x14ac:dyDescent="0.3">
      <c r="A158" s="3">
        <v>46109</v>
      </c>
      <c r="B158" s="2" t="s">
        <v>19</v>
      </c>
      <c r="C158" s="2" t="s">
        <v>50</v>
      </c>
      <c r="D158" s="2" t="s">
        <v>51</v>
      </c>
      <c r="E158" s="2" t="s">
        <v>22</v>
      </c>
      <c r="F158" s="2">
        <v>1277955380444250</v>
      </c>
      <c r="G158" s="2">
        <v>1.2024229057228E+17</v>
      </c>
      <c r="H158" s="2">
        <v>1.2024270613878E+17</v>
      </c>
      <c r="I158" s="2">
        <v>1.202427061388E+17</v>
      </c>
      <c r="J158" s="2" t="s">
        <v>23</v>
      </c>
      <c r="K158" s="4">
        <v>9510</v>
      </c>
      <c r="L158">
        <v>621</v>
      </c>
      <c r="M158">
        <v>503.48</v>
      </c>
      <c r="N158">
        <f t="shared" si="6"/>
        <v>8559</v>
      </c>
      <c r="O158">
        <f t="shared" si="7"/>
        <v>3852</v>
      </c>
      <c r="P158" s="5">
        <f t="shared" si="8"/>
        <v>6277</v>
      </c>
      <c r="S158">
        <v>3453</v>
      </c>
      <c r="T158">
        <v>56</v>
      </c>
    </row>
    <row r="159" spans="1:20" ht="15.75" thickBot="1" x14ac:dyDescent="0.3">
      <c r="A159" s="3">
        <v>46109</v>
      </c>
      <c r="B159" s="2" t="s">
        <v>19</v>
      </c>
      <c r="C159" s="2" t="s">
        <v>50</v>
      </c>
      <c r="D159" s="2" t="s">
        <v>51</v>
      </c>
      <c r="E159" s="2" t="s">
        <v>22</v>
      </c>
      <c r="F159" s="2">
        <v>1277955380444250</v>
      </c>
      <c r="G159" s="2">
        <v>1.2024229057228E+17</v>
      </c>
      <c r="H159" s="2">
        <v>1.2024270613878E+17</v>
      </c>
      <c r="I159" s="2">
        <v>1.202427061388E+17</v>
      </c>
      <c r="J159" s="2" t="s">
        <v>24</v>
      </c>
      <c r="K159" s="4">
        <v>3546</v>
      </c>
      <c r="L159">
        <v>607</v>
      </c>
      <c r="M159">
        <v>1444.71</v>
      </c>
      <c r="N159">
        <f t="shared" si="6"/>
        <v>3191</v>
      </c>
      <c r="O159">
        <f t="shared" si="7"/>
        <v>1436</v>
      </c>
      <c r="P159" s="5">
        <f t="shared" si="8"/>
        <v>2340</v>
      </c>
      <c r="S159">
        <v>699320</v>
      </c>
      <c r="T159">
        <v>3187</v>
      </c>
    </row>
    <row r="160" spans="1:20" ht="15.75" thickBot="1" x14ac:dyDescent="0.3">
      <c r="A160" s="3">
        <v>46109</v>
      </c>
      <c r="B160" s="2" t="s">
        <v>19</v>
      </c>
      <c r="C160" s="2" t="s">
        <v>50</v>
      </c>
      <c r="D160" s="2" t="s">
        <v>51</v>
      </c>
      <c r="E160" s="2" t="s">
        <v>22</v>
      </c>
      <c r="F160" s="2">
        <v>1277955380444250</v>
      </c>
      <c r="G160" s="2">
        <v>1.2024229057228E+17</v>
      </c>
      <c r="H160" s="2">
        <v>1.2024270613878E+17</v>
      </c>
      <c r="I160" s="2">
        <v>1.202427061388E+17</v>
      </c>
      <c r="J160" s="2" t="s">
        <v>36</v>
      </c>
      <c r="K160" s="4">
        <v>3421</v>
      </c>
      <c r="L160">
        <v>318</v>
      </c>
      <c r="M160">
        <v>1516.65</v>
      </c>
      <c r="N160">
        <f t="shared" si="6"/>
        <v>3079</v>
      </c>
      <c r="O160">
        <f t="shared" si="7"/>
        <v>1386</v>
      </c>
      <c r="P160" s="5">
        <f t="shared" si="8"/>
        <v>2258</v>
      </c>
      <c r="S160">
        <v>3</v>
      </c>
      <c r="T160">
        <v>1</v>
      </c>
    </row>
    <row r="161" spans="1:20" ht="15.75" thickBot="1" x14ac:dyDescent="0.3">
      <c r="A161" s="3">
        <v>46109</v>
      </c>
      <c r="B161" s="2" t="s">
        <v>19</v>
      </c>
      <c r="C161" s="2" t="s">
        <v>50</v>
      </c>
      <c r="D161" s="2" t="s">
        <v>51</v>
      </c>
      <c r="E161" s="2" t="s">
        <v>22</v>
      </c>
      <c r="F161" s="2">
        <v>1277955380444250</v>
      </c>
      <c r="G161" s="2">
        <v>1.2024229057228E+17</v>
      </c>
      <c r="H161" s="2">
        <v>1.2024270613878E+17</v>
      </c>
      <c r="I161" s="2">
        <v>1.202427061388E+17</v>
      </c>
      <c r="J161" s="2" t="s">
        <v>52</v>
      </c>
      <c r="K161" s="4">
        <v>3039</v>
      </c>
      <c r="L161">
        <v>987</v>
      </c>
      <c r="M161">
        <v>334.61</v>
      </c>
      <c r="N161">
        <f t="shared" si="6"/>
        <v>2735</v>
      </c>
      <c r="O161">
        <f t="shared" si="7"/>
        <v>1231</v>
      </c>
      <c r="P161" s="5">
        <f t="shared" si="8"/>
        <v>2006</v>
      </c>
      <c r="S161">
        <v>170</v>
      </c>
      <c r="T161">
        <v>8</v>
      </c>
    </row>
    <row r="162" spans="1:20" ht="15.75" thickBot="1" x14ac:dyDescent="0.3">
      <c r="A162" s="3">
        <v>46109</v>
      </c>
      <c r="B162" s="2" t="s">
        <v>19</v>
      </c>
      <c r="C162" s="2" t="s">
        <v>50</v>
      </c>
      <c r="D162" s="2" t="s">
        <v>53</v>
      </c>
      <c r="E162" s="2" t="s">
        <v>22</v>
      </c>
      <c r="F162" s="2">
        <v>1277955380444250</v>
      </c>
      <c r="G162" s="2">
        <v>1.2024229057228E+17</v>
      </c>
      <c r="H162" s="2">
        <v>1.2024270613878E+17</v>
      </c>
      <c r="I162" s="2">
        <v>1.2024270613881E+17</v>
      </c>
      <c r="J162" s="2" t="s">
        <v>23</v>
      </c>
      <c r="K162" s="4">
        <v>9459</v>
      </c>
      <c r="L162">
        <v>327</v>
      </c>
      <c r="M162">
        <v>1260.1099999999999</v>
      </c>
      <c r="N162">
        <f t="shared" si="6"/>
        <v>8513</v>
      </c>
      <c r="O162">
        <f t="shared" si="7"/>
        <v>3831</v>
      </c>
      <c r="P162" s="5">
        <f t="shared" si="8"/>
        <v>6243</v>
      </c>
      <c r="S162">
        <v>118</v>
      </c>
      <c r="T162">
        <v>1</v>
      </c>
    </row>
    <row r="163" spans="1:20" ht="15.75" thickBot="1" x14ac:dyDescent="0.3">
      <c r="A163" s="3">
        <v>46109</v>
      </c>
      <c r="B163" s="2" t="s">
        <v>19</v>
      </c>
      <c r="C163" s="2" t="s">
        <v>50</v>
      </c>
      <c r="D163" s="2" t="s">
        <v>53</v>
      </c>
      <c r="E163" s="2" t="s">
        <v>22</v>
      </c>
      <c r="F163" s="2">
        <v>1277955380444250</v>
      </c>
      <c r="G163" s="2">
        <v>1.2024229057228E+17</v>
      </c>
      <c r="H163" s="2">
        <v>1.2024270613878E+17</v>
      </c>
      <c r="I163" s="2">
        <v>1.2024270613881E+17</v>
      </c>
      <c r="J163" s="2" t="s">
        <v>24</v>
      </c>
      <c r="K163" s="4">
        <v>2828</v>
      </c>
      <c r="L163">
        <v>993</v>
      </c>
      <c r="M163">
        <v>312.27</v>
      </c>
      <c r="N163">
        <f t="shared" si="6"/>
        <v>2545</v>
      </c>
      <c r="O163">
        <f t="shared" si="7"/>
        <v>1145</v>
      </c>
      <c r="P163" s="5">
        <f t="shared" si="8"/>
        <v>1866</v>
      </c>
      <c r="S163">
        <v>12481</v>
      </c>
      <c r="T163">
        <v>57</v>
      </c>
    </row>
    <row r="164" spans="1:20" ht="15.75" thickBot="1" x14ac:dyDescent="0.3">
      <c r="A164" s="3">
        <v>46109</v>
      </c>
      <c r="B164" s="2" t="s">
        <v>19</v>
      </c>
      <c r="C164" s="2" t="s">
        <v>50</v>
      </c>
      <c r="D164" s="2" t="s">
        <v>53</v>
      </c>
      <c r="E164" s="2" t="s">
        <v>22</v>
      </c>
      <c r="F164" s="2">
        <v>1277955380444250</v>
      </c>
      <c r="G164" s="2">
        <v>1.2024229057228E+17</v>
      </c>
      <c r="H164" s="2">
        <v>1.2024270613878E+17</v>
      </c>
      <c r="I164" s="2">
        <v>1.2024270613881E+17</v>
      </c>
      <c r="J164" s="2" t="s">
        <v>36</v>
      </c>
      <c r="K164" s="4">
        <v>9686</v>
      </c>
      <c r="L164">
        <v>237</v>
      </c>
      <c r="M164">
        <v>1096.8800000000001</v>
      </c>
      <c r="N164">
        <f t="shared" si="6"/>
        <v>8717</v>
      </c>
      <c r="O164">
        <f t="shared" si="7"/>
        <v>3923</v>
      </c>
      <c r="P164" s="5">
        <f t="shared" si="8"/>
        <v>6393</v>
      </c>
      <c r="S164">
        <v>58</v>
      </c>
      <c r="T164">
        <v>2</v>
      </c>
    </row>
    <row r="165" spans="1:20" ht="15.75" thickBot="1" x14ac:dyDescent="0.3">
      <c r="A165" s="3">
        <v>46109</v>
      </c>
      <c r="B165" s="2" t="s">
        <v>19</v>
      </c>
      <c r="C165" s="2" t="s">
        <v>50</v>
      </c>
      <c r="D165" s="2" t="s">
        <v>53</v>
      </c>
      <c r="E165" s="2" t="s">
        <v>22</v>
      </c>
      <c r="F165" s="2">
        <v>1277955380444250</v>
      </c>
      <c r="G165" s="2">
        <v>1.2024229057228E+17</v>
      </c>
      <c r="H165" s="2">
        <v>1.2024270613878E+17</v>
      </c>
      <c r="I165" s="2">
        <v>1.2024270613881E+17</v>
      </c>
      <c r="J165" s="2" t="s">
        <v>52</v>
      </c>
      <c r="K165" s="4">
        <v>8047</v>
      </c>
      <c r="L165">
        <v>408</v>
      </c>
      <c r="M165">
        <v>1058.98</v>
      </c>
      <c r="N165">
        <f t="shared" si="6"/>
        <v>7242</v>
      </c>
      <c r="O165">
        <f t="shared" si="7"/>
        <v>3259</v>
      </c>
      <c r="P165" s="5">
        <f t="shared" si="8"/>
        <v>5311</v>
      </c>
      <c r="S165">
        <v>2725</v>
      </c>
      <c r="T165">
        <v>82</v>
      </c>
    </row>
    <row r="166" spans="1:20" ht="15.75" thickBot="1" x14ac:dyDescent="0.3">
      <c r="A166" s="3">
        <v>46109</v>
      </c>
      <c r="B166" s="2" t="s">
        <v>19</v>
      </c>
      <c r="C166" s="2" t="s">
        <v>50</v>
      </c>
      <c r="D166" s="2" t="s">
        <v>54</v>
      </c>
      <c r="E166" s="2" t="s">
        <v>22</v>
      </c>
      <c r="F166" s="2">
        <v>1277955380444250</v>
      </c>
      <c r="G166" s="2">
        <v>1.2024229057228E+17</v>
      </c>
      <c r="H166" s="2">
        <v>1.2024270613878E+17</v>
      </c>
      <c r="I166" s="2">
        <v>1.2024270623134E+17</v>
      </c>
      <c r="J166" s="2" t="s">
        <v>23</v>
      </c>
      <c r="K166" s="4">
        <v>6559</v>
      </c>
      <c r="L166">
        <v>314</v>
      </c>
      <c r="M166">
        <v>1617.93</v>
      </c>
      <c r="N166">
        <f t="shared" si="6"/>
        <v>5903</v>
      </c>
      <c r="O166">
        <f t="shared" si="7"/>
        <v>2656</v>
      </c>
      <c r="P166" s="5">
        <f t="shared" si="8"/>
        <v>4329</v>
      </c>
      <c r="S166">
        <v>293</v>
      </c>
      <c r="T166">
        <v>2</v>
      </c>
    </row>
    <row r="167" spans="1:20" ht="15.75" thickBot="1" x14ac:dyDescent="0.3">
      <c r="A167" s="3">
        <v>46109</v>
      </c>
      <c r="B167" s="2" t="s">
        <v>19</v>
      </c>
      <c r="C167" s="2" t="s">
        <v>50</v>
      </c>
      <c r="D167" s="2" t="s">
        <v>54</v>
      </c>
      <c r="E167" s="2" t="s">
        <v>22</v>
      </c>
      <c r="F167" s="2">
        <v>1277955380444250</v>
      </c>
      <c r="G167" s="2">
        <v>1.2024229057228E+17</v>
      </c>
      <c r="H167" s="2">
        <v>1.2024270613878E+17</v>
      </c>
      <c r="I167" s="2">
        <v>1.2024270623134E+17</v>
      </c>
      <c r="J167" s="2" t="s">
        <v>24</v>
      </c>
      <c r="K167" s="4">
        <v>3150</v>
      </c>
      <c r="L167">
        <v>621</v>
      </c>
      <c r="M167">
        <v>583.87</v>
      </c>
      <c r="N167">
        <f t="shared" si="6"/>
        <v>2835</v>
      </c>
      <c r="O167">
        <f t="shared" si="7"/>
        <v>1276</v>
      </c>
      <c r="P167" s="5">
        <f t="shared" si="8"/>
        <v>2079</v>
      </c>
      <c r="S167">
        <v>139460</v>
      </c>
      <c r="T167">
        <v>512</v>
      </c>
    </row>
    <row r="168" spans="1:20" ht="15.75" thickBot="1" x14ac:dyDescent="0.3">
      <c r="A168" s="3">
        <v>46109</v>
      </c>
      <c r="B168" s="2" t="s">
        <v>19</v>
      </c>
      <c r="C168" s="2" t="s">
        <v>50</v>
      </c>
      <c r="D168" s="2" t="s">
        <v>54</v>
      </c>
      <c r="E168" s="2" t="s">
        <v>22</v>
      </c>
      <c r="F168" s="2">
        <v>1277955380444250</v>
      </c>
      <c r="G168" s="2">
        <v>1.2024229057228E+17</v>
      </c>
      <c r="H168" s="2">
        <v>1.2024270613878E+17</v>
      </c>
      <c r="I168" s="2">
        <v>1.2024270623134E+17</v>
      </c>
      <c r="J168" s="2" t="s">
        <v>36</v>
      </c>
      <c r="K168" s="4">
        <v>2994</v>
      </c>
      <c r="L168">
        <v>466</v>
      </c>
      <c r="M168">
        <v>205.14</v>
      </c>
      <c r="N168">
        <f t="shared" si="6"/>
        <v>2695</v>
      </c>
      <c r="O168">
        <f t="shared" si="7"/>
        <v>1213</v>
      </c>
      <c r="P168" s="5">
        <f t="shared" si="8"/>
        <v>1976</v>
      </c>
      <c r="S168">
        <v>144</v>
      </c>
      <c r="T168">
        <v>2</v>
      </c>
    </row>
    <row r="169" spans="1:20" ht="15.75" thickBot="1" x14ac:dyDescent="0.3">
      <c r="A169" s="3">
        <v>46109</v>
      </c>
      <c r="B169" s="2" t="s">
        <v>19</v>
      </c>
      <c r="C169" s="2" t="s">
        <v>50</v>
      </c>
      <c r="D169" s="2" t="s">
        <v>54</v>
      </c>
      <c r="E169" s="2" t="s">
        <v>22</v>
      </c>
      <c r="F169" s="2">
        <v>1277955380444250</v>
      </c>
      <c r="G169" s="2">
        <v>1.2024229057228E+17</v>
      </c>
      <c r="H169" s="2">
        <v>1.2024270613878E+17</v>
      </c>
      <c r="I169" s="2">
        <v>1.2024270623134E+17</v>
      </c>
      <c r="J169" s="2" t="s">
        <v>52</v>
      </c>
      <c r="K169" s="4">
        <v>6358</v>
      </c>
      <c r="L169">
        <v>819</v>
      </c>
      <c r="M169">
        <v>1494.5</v>
      </c>
      <c r="N169">
        <f t="shared" si="6"/>
        <v>5722</v>
      </c>
      <c r="O169">
        <f t="shared" si="7"/>
        <v>2575</v>
      </c>
      <c r="P169" s="5">
        <f t="shared" si="8"/>
        <v>4196</v>
      </c>
      <c r="S169">
        <v>460</v>
      </c>
      <c r="T169">
        <v>17</v>
      </c>
    </row>
    <row r="170" spans="1:20" ht="15.75" thickBot="1" x14ac:dyDescent="0.3">
      <c r="A170" s="3">
        <v>46109</v>
      </c>
      <c r="B170" s="2" t="s">
        <v>25</v>
      </c>
      <c r="C170" s="2" t="s">
        <v>26</v>
      </c>
      <c r="D170" s="2" t="s">
        <v>35</v>
      </c>
      <c r="E170" s="2" t="s">
        <v>22</v>
      </c>
      <c r="F170" s="2">
        <v>1277955380444250</v>
      </c>
      <c r="G170" s="2">
        <v>1.2024231584645E+17</v>
      </c>
      <c r="H170" s="2">
        <v>1.2024231618176E+17</v>
      </c>
      <c r="I170" s="2">
        <v>1.2024235726836E+17</v>
      </c>
      <c r="J170" s="2" t="s">
        <v>23</v>
      </c>
      <c r="K170" s="4">
        <v>4050</v>
      </c>
      <c r="L170">
        <v>52</v>
      </c>
      <c r="M170">
        <v>1085.52</v>
      </c>
      <c r="N170">
        <f t="shared" si="6"/>
        <v>3645</v>
      </c>
      <c r="O170">
        <f t="shared" si="7"/>
        <v>1640</v>
      </c>
      <c r="P170" s="5">
        <f t="shared" si="8"/>
        <v>2673</v>
      </c>
      <c r="S170">
        <v>2966</v>
      </c>
      <c r="T170">
        <v>300</v>
      </c>
    </row>
    <row r="171" spans="1:20" ht="15.75" thickBot="1" x14ac:dyDescent="0.3">
      <c r="A171" s="3">
        <v>46109</v>
      </c>
      <c r="B171" s="2" t="s">
        <v>25</v>
      </c>
      <c r="C171" s="2" t="s">
        <v>26</v>
      </c>
      <c r="D171" s="2" t="s">
        <v>35</v>
      </c>
      <c r="E171" s="2" t="s">
        <v>22</v>
      </c>
      <c r="F171" s="2">
        <v>1277955380444250</v>
      </c>
      <c r="G171" s="2">
        <v>1.2024231584645E+17</v>
      </c>
      <c r="H171" s="2">
        <v>1.2024231618176E+17</v>
      </c>
      <c r="I171" s="2">
        <v>1.2024235726836E+17</v>
      </c>
      <c r="J171" s="2" t="s">
        <v>24</v>
      </c>
      <c r="K171" s="4">
        <v>6352</v>
      </c>
      <c r="L171">
        <v>103</v>
      </c>
      <c r="M171">
        <v>921.71</v>
      </c>
      <c r="N171">
        <f t="shared" si="6"/>
        <v>5717</v>
      </c>
      <c r="O171">
        <f t="shared" si="7"/>
        <v>2573</v>
      </c>
      <c r="P171" s="5">
        <f t="shared" si="8"/>
        <v>4192</v>
      </c>
      <c r="S171">
        <v>3218</v>
      </c>
      <c r="T171">
        <v>317</v>
      </c>
    </row>
    <row r="172" spans="1:20" ht="15.75" thickBot="1" x14ac:dyDescent="0.3">
      <c r="A172" s="3">
        <v>46109</v>
      </c>
      <c r="B172" s="2" t="s">
        <v>25</v>
      </c>
      <c r="C172" s="2" t="s">
        <v>40</v>
      </c>
      <c r="D172" s="2" t="s">
        <v>41</v>
      </c>
      <c r="E172" s="2" t="s">
        <v>22</v>
      </c>
      <c r="F172" s="2">
        <v>1277955380444250</v>
      </c>
      <c r="G172" s="2">
        <v>1.2024231584645E+17</v>
      </c>
      <c r="H172" s="2">
        <v>1.2024246508913E+17</v>
      </c>
      <c r="I172" s="2">
        <v>1.2024246508915E+17</v>
      </c>
      <c r="J172" s="2" t="s">
        <v>23</v>
      </c>
      <c r="K172" s="4">
        <v>1792</v>
      </c>
      <c r="L172">
        <v>572</v>
      </c>
      <c r="M172">
        <v>404.92</v>
      </c>
      <c r="N172">
        <f t="shared" si="6"/>
        <v>1613</v>
      </c>
      <c r="O172">
        <f t="shared" si="7"/>
        <v>726</v>
      </c>
      <c r="P172" s="5">
        <f t="shared" si="8"/>
        <v>1183</v>
      </c>
    </row>
    <row r="173" spans="1:20" ht="15.75" thickBot="1" x14ac:dyDescent="0.3">
      <c r="A173" s="3">
        <v>46109</v>
      </c>
      <c r="B173" s="2" t="s">
        <v>25</v>
      </c>
      <c r="C173" s="2" t="s">
        <v>40</v>
      </c>
      <c r="D173" s="2" t="s">
        <v>41</v>
      </c>
      <c r="E173" s="2" t="s">
        <v>22</v>
      </c>
      <c r="F173" s="2">
        <v>1277955380444250</v>
      </c>
      <c r="G173" s="2">
        <v>1.2024231584645E+17</v>
      </c>
      <c r="H173" s="2">
        <v>1.2024246508913E+17</v>
      </c>
      <c r="I173" s="2">
        <v>1.2024246508915E+17</v>
      </c>
      <c r="J173" s="2" t="s">
        <v>24</v>
      </c>
      <c r="K173" s="4">
        <v>4350</v>
      </c>
      <c r="L173">
        <v>657</v>
      </c>
      <c r="M173">
        <v>786.98</v>
      </c>
      <c r="N173">
        <f t="shared" si="6"/>
        <v>3915</v>
      </c>
      <c r="O173">
        <f t="shared" si="7"/>
        <v>1762</v>
      </c>
      <c r="P173" s="5">
        <f t="shared" si="8"/>
        <v>2871</v>
      </c>
    </row>
    <row r="174" spans="1:20" ht="15.75" thickBot="1" x14ac:dyDescent="0.3">
      <c r="A174" s="3">
        <v>46109</v>
      </c>
      <c r="B174" s="2" t="s">
        <v>25</v>
      </c>
      <c r="C174" s="2" t="s">
        <v>40</v>
      </c>
      <c r="D174" s="2" t="s">
        <v>42</v>
      </c>
      <c r="E174" s="2" t="s">
        <v>22</v>
      </c>
      <c r="F174" s="2">
        <v>1277955380444250</v>
      </c>
      <c r="G174" s="2">
        <v>1.2024231584645E+17</v>
      </c>
      <c r="H174" s="2">
        <v>1.2024246508913E+17</v>
      </c>
      <c r="I174" s="2">
        <v>1.2024246532294E+17</v>
      </c>
      <c r="J174" s="2" t="s">
        <v>23</v>
      </c>
      <c r="K174" s="4">
        <v>3263</v>
      </c>
      <c r="L174">
        <v>320</v>
      </c>
      <c r="M174">
        <v>1363.21</v>
      </c>
      <c r="N174">
        <f t="shared" si="6"/>
        <v>2937</v>
      </c>
      <c r="O174">
        <f t="shared" si="7"/>
        <v>1322</v>
      </c>
      <c r="P174" s="5">
        <f t="shared" si="8"/>
        <v>2154</v>
      </c>
    </row>
    <row r="175" spans="1:20" ht="15.75" thickBot="1" x14ac:dyDescent="0.3">
      <c r="A175" s="3">
        <v>46109</v>
      </c>
      <c r="B175" s="2" t="s">
        <v>25</v>
      </c>
      <c r="C175" s="2" t="s">
        <v>40</v>
      </c>
      <c r="D175" s="2" t="s">
        <v>42</v>
      </c>
      <c r="E175" s="2" t="s">
        <v>22</v>
      </c>
      <c r="F175" s="2">
        <v>1277955380444250</v>
      </c>
      <c r="G175" s="2">
        <v>1.2024231584645E+17</v>
      </c>
      <c r="H175" s="2">
        <v>1.2024246508913E+17</v>
      </c>
      <c r="I175" s="2">
        <v>1.2024246532294E+17</v>
      </c>
      <c r="J175" s="2" t="s">
        <v>24</v>
      </c>
      <c r="K175" s="4">
        <v>9909</v>
      </c>
      <c r="L175">
        <v>409</v>
      </c>
      <c r="M175">
        <v>573.46</v>
      </c>
      <c r="N175">
        <f t="shared" si="6"/>
        <v>8918</v>
      </c>
      <c r="O175">
        <f t="shared" si="7"/>
        <v>4013</v>
      </c>
      <c r="P175" s="5">
        <f t="shared" si="8"/>
        <v>6540</v>
      </c>
    </row>
    <row r="176" spans="1:20" ht="15.75" thickBot="1" x14ac:dyDescent="0.3">
      <c r="A176" s="3">
        <v>46109</v>
      </c>
      <c r="B176" s="2" t="s">
        <v>25</v>
      </c>
      <c r="C176" s="2" t="s">
        <v>28</v>
      </c>
      <c r="D176" s="2" t="s">
        <v>37</v>
      </c>
      <c r="E176" s="2" t="s">
        <v>22</v>
      </c>
      <c r="F176" s="2">
        <v>1277955380444250</v>
      </c>
      <c r="G176" s="2">
        <v>1.2024231584645E+17</v>
      </c>
      <c r="H176" s="2">
        <v>1.2024231613167E+17</v>
      </c>
      <c r="I176" s="2">
        <v>1.2024235723042E+17</v>
      </c>
      <c r="J176" s="2" t="s">
        <v>23</v>
      </c>
      <c r="K176" s="4">
        <v>1817</v>
      </c>
      <c r="L176">
        <v>125</v>
      </c>
      <c r="M176">
        <v>765.93</v>
      </c>
      <c r="N176">
        <f t="shared" si="6"/>
        <v>1635</v>
      </c>
      <c r="O176">
        <f t="shared" si="7"/>
        <v>736</v>
      </c>
      <c r="P176" s="5">
        <f t="shared" si="8"/>
        <v>1199</v>
      </c>
      <c r="S176">
        <v>8797</v>
      </c>
      <c r="T176">
        <v>846</v>
      </c>
    </row>
    <row r="177" spans="1:20" ht="15.75" thickBot="1" x14ac:dyDescent="0.3">
      <c r="A177" s="3">
        <v>46109</v>
      </c>
      <c r="B177" s="2" t="s">
        <v>25</v>
      </c>
      <c r="C177" s="2" t="s">
        <v>28</v>
      </c>
      <c r="D177" s="2" t="s">
        <v>37</v>
      </c>
      <c r="E177" s="2" t="s">
        <v>22</v>
      </c>
      <c r="F177" s="2">
        <v>1277955380444250</v>
      </c>
      <c r="G177" s="2">
        <v>1.2024231584645E+17</v>
      </c>
      <c r="H177" s="2">
        <v>1.2024231613167E+17</v>
      </c>
      <c r="I177" s="2">
        <v>1.2024235723042E+17</v>
      </c>
      <c r="J177" s="2" t="s">
        <v>24</v>
      </c>
      <c r="K177" s="4">
        <v>4641</v>
      </c>
      <c r="L177">
        <v>548</v>
      </c>
      <c r="M177">
        <v>1075.46</v>
      </c>
      <c r="N177">
        <f t="shared" si="6"/>
        <v>4177</v>
      </c>
      <c r="O177">
        <f t="shared" si="7"/>
        <v>1880</v>
      </c>
      <c r="P177" s="5">
        <f t="shared" si="8"/>
        <v>3063</v>
      </c>
      <c r="S177">
        <v>8636</v>
      </c>
      <c r="T177">
        <v>437</v>
      </c>
    </row>
    <row r="178" spans="1:20" ht="15.75" thickBot="1" x14ac:dyDescent="0.3">
      <c r="A178" s="3">
        <v>46109</v>
      </c>
      <c r="B178" s="2" t="s">
        <v>25</v>
      </c>
      <c r="C178" s="2" t="s">
        <v>30</v>
      </c>
      <c r="D178" s="2" t="s">
        <v>38</v>
      </c>
      <c r="E178" s="2" t="s">
        <v>22</v>
      </c>
      <c r="F178" s="2">
        <v>1277955380444250</v>
      </c>
      <c r="G178" s="2">
        <v>1.2024231584645E+17</v>
      </c>
      <c r="H178" s="2">
        <v>1.2024231592817E+17</v>
      </c>
      <c r="I178" s="2">
        <v>1.202423571795E+17</v>
      </c>
      <c r="J178" s="2" t="s">
        <v>23</v>
      </c>
      <c r="K178" s="4">
        <v>3816</v>
      </c>
      <c r="L178">
        <v>768</v>
      </c>
      <c r="M178">
        <v>964.77</v>
      </c>
      <c r="N178">
        <f t="shared" si="6"/>
        <v>3434</v>
      </c>
      <c r="O178">
        <f t="shared" si="7"/>
        <v>1545</v>
      </c>
      <c r="P178" s="5">
        <f t="shared" si="8"/>
        <v>2519</v>
      </c>
      <c r="S178">
        <v>5575</v>
      </c>
      <c r="T178">
        <v>528</v>
      </c>
    </row>
    <row r="179" spans="1:20" ht="15.75" thickBot="1" x14ac:dyDescent="0.3">
      <c r="A179" s="3">
        <v>46109</v>
      </c>
      <c r="B179" s="2" t="s">
        <v>25</v>
      </c>
      <c r="C179" s="2" t="s">
        <v>30</v>
      </c>
      <c r="D179" s="2" t="s">
        <v>38</v>
      </c>
      <c r="E179" s="2" t="s">
        <v>22</v>
      </c>
      <c r="F179" s="2">
        <v>1277955380444250</v>
      </c>
      <c r="G179" s="2">
        <v>1.2024231584645E+17</v>
      </c>
      <c r="H179" s="2">
        <v>1.2024231592817E+17</v>
      </c>
      <c r="I179" s="2">
        <v>1.202423571795E+17</v>
      </c>
      <c r="J179" s="2" t="s">
        <v>24</v>
      </c>
      <c r="K179" s="4">
        <v>1177</v>
      </c>
      <c r="L179">
        <v>337</v>
      </c>
      <c r="M179">
        <v>1156.6400000000001</v>
      </c>
      <c r="N179">
        <f t="shared" si="6"/>
        <v>1059</v>
      </c>
      <c r="O179">
        <f t="shared" si="7"/>
        <v>477</v>
      </c>
      <c r="P179" s="5">
        <f t="shared" si="8"/>
        <v>777</v>
      </c>
      <c r="S179">
        <v>6997</v>
      </c>
      <c r="T179">
        <v>407</v>
      </c>
    </row>
    <row r="180" spans="1:20" ht="15.75" thickBot="1" x14ac:dyDescent="0.3">
      <c r="A180" s="3">
        <v>46109</v>
      </c>
      <c r="B180" s="2" t="s">
        <v>25</v>
      </c>
      <c r="C180" s="2" t="s">
        <v>30</v>
      </c>
      <c r="D180" s="2" t="s">
        <v>38</v>
      </c>
      <c r="E180" s="2" t="s">
        <v>22</v>
      </c>
      <c r="F180" s="2">
        <v>1277955380444250</v>
      </c>
      <c r="G180" s="2">
        <v>1.2024231584645E+17</v>
      </c>
      <c r="H180" s="2">
        <v>1.2024231592817E+17</v>
      </c>
      <c r="I180" s="2">
        <v>1.202423571795E+17</v>
      </c>
      <c r="J180" s="2" t="s">
        <v>36</v>
      </c>
      <c r="K180" s="4">
        <v>6238</v>
      </c>
      <c r="L180">
        <v>342</v>
      </c>
      <c r="M180">
        <v>1052.74</v>
      </c>
      <c r="N180">
        <f t="shared" si="6"/>
        <v>5614</v>
      </c>
      <c r="O180">
        <f t="shared" si="7"/>
        <v>2526</v>
      </c>
      <c r="P180" s="5">
        <f t="shared" si="8"/>
        <v>4117</v>
      </c>
      <c r="S180">
        <v>1</v>
      </c>
    </row>
    <row r="181" spans="1:20" ht="15.75" thickBot="1" x14ac:dyDescent="0.3">
      <c r="A181" s="3">
        <v>46109</v>
      </c>
      <c r="B181" s="2" t="s">
        <v>25</v>
      </c>
      <c r="C181" s="2" t="s">
        <v>32</v>
      </c>
      <c r="D181" s="2" t="s">
        <v>39</v>
      </c>
      <c r="E181" s="2" t="s">
        <v>22</v>
      </c>
      <c r="F181" s="2">
        <v>1277955380444250</v>
      </c>
      <c r="G181" s="2">
        <v>1.2024231584645E+17</v>
      </c>
      <c r="H181" s="2">
        <v>1.2024231584646E+17</v>
      </c>
      <c r="I181" s="2">
        <v>1.202423570912E+17</v>
      </c>
      <c r="J181" s="2" t="s">
        <v>23</v>
      </c>
      <c r="K181" s="4">
        <v>7951</v>
      </c>
      <c r="L181">
        <v>603</v>
      </c>
      <c r="M181">
        <v>804.55</v>
      </c>
      <c r="N181">
        <f t="shared" si="6"/>
        <v>7156</v>
      </c>
      <c r="O181">
        <f t="shared" si="7"/>
        <v>3220</v>
      </c>
      <c r="P181" s="5">
        <f t="shared" si="8"/>
        <v>5248</v>
      </c>
    </row>
    <row r="182" spans="1:20" ht="15.75" thickBot="1" x14ac:dyDescent="0.3">
      <c r="A182" s="3">
        <v>46109</v>
      </c>
      <c r="B182" s="2" t="s">
        <v>25</v>
      </c>
      <c r="C182" s="2" t="s">
        <v>32</v>
      </c>
      <c r="D182" s="2" t="s">
        <v>39</v>
      </c>
      <c r="E182" s="2" t="s">
        <v>22</v>
      </c>
      <c r="F182" s="2">
        <v>1277955380444250</v>
      </c>
      <c r="G182" s="2">
        <v>1.2024231584645E+17</v>
      </c>
      <c r="H182" s="2">
        <v>1.2024231584646E+17</v>
      </c>
      <c r="I182" s="2">
        <v>1.202423570912E+17</v>
      </c>
      <c r="J182" s="2" t="s">
        <v>24</v>
      </c>
      <c r="K182" s="4">
        <v>1629</v>
      </c>
      <c r="L182">
        <v>864</v>
      </c>
      <c r="M182">
        <v>1291.6400000000001</v>
      </c>
      <c r="N182">
        <f t="shared" si="6"/>
        <v>1466</v>
      </c>
      <c r="O182">
        <f t="shared" si="7"/>
        <v>660</v>
      </c>
      <c r="P182" s="5">
        <f t="shared" si="8"/>
        <v>1075</v>
      </c>
    </row>
    <row r="183" spans="1:20" ht="15.75" thickBot="1" x14ac:dyDescent="0.3">
      <c r="A183" s="3">
        <v>46110</v>
      </c>
      <c r="B183" s="2" t="s">
        <v>47</v>
      </c>
      <c r="C183" s="2" t="s">
        <v>48</v>
      </c>
      <c r="D183" s="2" t="s">
        <v>49</v>
      </c>
      <c r="E183" s="2" t="s">
        <v>22</v>
      </c>
      <c r="F183" s="2">
        <v>1277955380444250</v>
      </c>
      <c r="G183" s="2">
        <v>1.2024261720294E+17</v>
      </c>
      <c r="H183" s="2">
        <v>1.2024261720296E+17</v>
      </c>
      <c r="I183" s="2">
        <v>1.2024261720295E+17</v>
      </c>
      <c r="J183" s="2" t="s">
        <v>23</v>
      </c>
      <c r="K183" s="4">
        <v>7242</v>
      </c>
      <c r="L183">
        <v>888</v>
      </c>
      <c r="M183">
        <v>229.41</v>
      </c>
      <c r="N183">
        <f t="shared" si="6"/>
        <v>6518</v>
      </c>
      <c r="O183">
        <f t="shared" si="7"/>
        <v>2933</v>
      </c>
      <c r="P183" s="5">
        <f t="shared" si="8"/>
        <v>4780</v>
      </c>
      <c r="R183">
        <v>65617</v>
      </c>
      <c r="S183">
        <v>488513</v>
      </c>
      <c r="T183">
        <v>49656</v>
      </c>
    </row>
    <row r="184" spans="1:20" ht="15.75" thickBot="1" x14ac:dyDescent="0.3">
      <c r="A184" s="3">
        <v>46110</v>
      </c>
      <c r="B184" s="2" t="s">
        <v>47</v>
      </c>
      <c r="C184" s="2" t="s">
        <v>48</v>
      </c>
      <c r="D184" s="2" t="s">
        <v>49</v>
      </c>
      <c r="E184" s="2" t="s">
        <v>22</v>
      </c>
      <c r="F184" s="2">
        <v>1277955380444250</v>
      </c>
      <c r="G184" s="2">
        <v>1.2024261720294E+17</v>
      </c>
      <c r="H184" s="2">
        <v>1.2024261720296E+17</v>
      </c>
      <c r="I184" s="2">
        <v>1.2024261720295E+17</v>
      </c>
      <c r="J184" s="2" t="s">
        <v>24</v>
      </c>
      <c r="K184" s="4">
        <v>1339</v>
      </c>
      <c r="L184">
        <v>820</v>
      </c>
      <c r="M184">
        <v>163.21</v>
      </c>
      <c r="N184">
        <f t="shared" si="6"/>
        <v>1205</v>
      </c>
      <c r="O184">
        <f t="shared" si="7"/>
        <v>542</v>
      </c>
      <c r="P184" s="5">
        <f t="shared" si="8"/>
        <v>884</v>
      </c>
      <c r="R184">
        <v>554398</v>
      </c>
      <c r="S184">
        <v>1157040</v>
      </c>
      <c r="T184">
        <v>345835</v>
      </c>
    </row>
    <row r="185" spans="1:20" ht="15.75" thickBot="1" x14ac:dyDescent="0.3">
      <c r="A185" s="3">
        <v>46110</v>
      </c>
      <c r="B185" s="2" t="s">
        <v>19</v>
      </c>
      <c r="C185" s="2" t="s">
        <v>20</v>
      </c>
      <c r="D185" s="2" t="s">
        <v>21</v>
      </c>
      <c r="E185" s="2" t="s">
        <v>22</v>
      </c>
      <c r="F185" s="2">
        <v>1277955380444250</v>
      </c>
      <c r="G185" s="2">
        <v>1.2024229057228E+17</v>
      </c>
      <c r="H185" s="2">
        <v>1.2024229057229E+17</v>
      </c>
      <c r="I185" s="2">
        <v>1.2024229057227E+17</v>
      </c>
      <c r="J185" s="2" t="s">
        <v>23</v>
      </c>
      <c r="K185" s="4">
        <v>1810</v>
      </c>
      <c r="L185">
        <v>151</v>
      </c>
      <c r="M185">
        <v>1735.42</v>
      </c>
      <c r="N185">
        <f t="shared" si="6"/>
        <v>1629</v>
      </c>
      <c r="O185">
        <f t="shared" si="7"/>
        <v>733</v>
      </c>
      <c r="P185" s="5">
        <f t="shared" si="8"/>
        <v>1195</v>
      </c>
      <c r="S185">
        <v>892</v>
      </c>
      <c r="T185">
        <v>25</v>
      </c>
    </row>
    <row r="186" spans="1:20" ht="15.75" thickBot="1" x14ac:dyDescent="0.3">
      <c r="A186" s="3">
        <v>46110</v>
      </c>
      <c r="B186" s="2" t="s">
        <v>19</v>
      </c>
      <c r="C186" s="2" t="s">
        <v>20</v>
      </c>
      <c r="D186" s="2" t="s">
        <v>21</v>
      </c>
      <c r="E186" s="2" t="s">
        <v>22</v>
      </c>
      <c r="F186" s="2">
        <v>1277955380444250</v>
      </c>
      <c r="G186" s="2">
        <v>1.2024229057228E+17</v>
      </c>
      <c r="H186" s="2">
        <v>1.2024229057229E+17</v>
      </c>
      <c r="I186" s="2">
        <v>1.2024229057227E+17</v>
      </c>
      <c r="J186" s="2" t="s">
        <v>24</v>
      </c>
      <c r="K186" s="4">
        <v>9447</v>
      </c>
      <c r="L186">
        <v>722</v>
      </c>
      <c r="M186">
        <v>455.3</v>
      </c>
      <c r="N186">
        <f t="shared" si="6"/>
        <v>8502</v>
      </c>
      <c r="O186">
        <f t="shared" si="7"/>
        <v>3826</v>
      </c>
      <c r="P186" s="5">
        <f t="shared" si="8"/>
        <v>6235</v>
      </c>
      <c r="S186">
        <v>90304</v>
      </c>
      <c r="T186">
        <v>308</v>
      </c>
    </row>
    <row r="187" spans="1:20" ht="15.75" thickBot="1" x14ac:dyDescent="0.3">
      <c r="A187" s="3">
        <v>46110</v>
      </c>
      <c r="B187" s="2" t="s">
        <v>19</v>
      </c>
      <c r="C187" s="2" t="s">
        <v>20</v>
      </c>
      <c r="D187" s="2" t="s">
        <v>34</v>
      </c>
      <c r="E187" s="2" t="s">
        <v>22</v>
      </c>
      <c r="F187" s="2">
        <v>1277955380444250</v>
      </c>
      <c r="G187" s="2">
        <v>1.2024229057228E+17</v>
      </c>
      <c r="H187" s="2">
        <v>1.2024229057229E+17</v>
      </c>
      <c r="I187" s="2">
        <v>1.2024229334046E+17</v>
      </c>
      <c r="J187" s="2" t="s">
        <v>23</v>
      </c>
      <c r="K187" s="4">
        <v>6453</v>
      </c>
      <c r="L187">
        <v>358</v>
      </c>
      <c r="M187">
        <v>987.29</v>
      </c>
      <c r="N187">
        <f t="shared" si="6"/>
        <v>5808</v>
      </c>
      <c r="O187">
        <f t="shared" si="7"/>
        <v>2614</v>
      </c>
      <c r="P187" s="5">
        <f t="shared" si="8"/>
        <v>4259</v>
      </c>
      <c r="S187">
        <v>187</v>
      </c>
    </row>
    <row r="188" spans="1:20" ht="15.75" thickBot="1" x14ac:dyDescent="0.3">
      <c r="A188" s="3">
        <v>46110</v>
      </c>
      <c r="B188" s="2" t="s">
        <v>19</v>
      </c>
      <c r="C188" s="2" t="s">
        <v>20</v>
      </c>
      <c r="D188" s="2" t="s">
        <v>34</v>
      </c>
      <c r="E188" s="2" t="s">
        <v>22</v>
      </c>
      <c r="F188" s="2">
        <v>1277955380444250</v>
      </c>
      <c r="G188" s="2">
        <v>1.2024229057228E+17</v>
      </c>
      <c r="H188" s="2">
        <v>1.2024229057229E+17</v>
      </c>
      <c r="I188" s="2">
        <v>1.2024229334046E+17</v>
      </c>
      <c r="J188" s="2" t="s">
        <v>24</v>
      </c>
      <c r="K188" s="4">
        <v>2383</v>
      </c>
      <c r="L188">
        <v>732</v>
      </c>
      <c r="M188">
        <v>823.87</v>
      </c>
      <c r="N188">
        <f t="shared" si="6"/>
        <v>2145</v>
      </c>
      <c r="O188">
        <f t="shared" si="7"/>
        <v>965</v>
      </c>
      <c r="P188" s="5">
        <f t="shared" si="8"/>
        <v>1573</v>
      </c>
      <c r="S188">
        <v>80182</v>
      </c>
      <c r="T188">
        <v>351</v>
      </c>
    </row>
    <row r="189" spans="1:20" ht="15.75" thickBot="1" x14ac:dyDescent="0.3">
      <c r="A189" s="3">
        <v>46110</v>
      </c>
      <c r="B189" s="2" t="s">
        <v>19</v>
      </c>
      <c r="C189" s="2" t="s">
        <v>50</v>
      </c>
      <c r="D189" s="2" t="s">
        <v>51</v>
      </c>
      <c r="E189" s="2" t="s">
        <v>22</v>
      </c>
      <c r="F189" s="2">
        <v>1277955380444250</v>
      </c>
      <c r="G189" s="2">
        <v>1.2024229057228E+17</v>
      </c>
      <c r="H189" s="2">
        <v>1.2024270613878E+17</v>
      </c>
      <c r="I189" s="2">
        <v>1.202427061388E+17</v>
      </c>
      <c r="J189" s="2" t="s">
        <v>23</v>
      </c>
      <c r="K189" s="4">
        <v>8207</v>
      </c>
      <c r="L189">
        <v>663</v>
      </c>
      <c r="M189">
        <v>618.51</v>
      </c>
      <c r="N189">
        <f t="shared" si="6"/>
        <v>7386</v>
      </c>
      <c r="O189">
        <f t="shared" si="7"/>
        <v>3324</v>
      </c>
      <c r="P189" s="5">
        <f t="shared" si="8"/>
        <v>5417</v>
      </c>
      <c r="S189">
        <v>17711</v>
      </c>
      <c r="T189">
        <v>300</v>
      </c>
    </row>
    <row r="190" spans="1:20" ht="15.75" thickBot="1" x14ac:dyDescent="0.3">
      <c r="A190" s="3">
        <v>46110</v>
      </c>
      <c r="B190" s="2" t="s">
        <v>19</v>
      </c>
      <c r="C190" s="2" t="s">
        <v>50</v>
      </c>
      <c r="D190" s="2" t="s">
        <v>51</v>
      </c>
      <c r="E190" s="2" t="s">
        <v>22</v>
      </c>
      <c r="F190" s="2">
        <v>1277955380444250</v>
      </c>
      <c r="G190" s="2">
        <v>1.2024229057228E+17</v>
      </c>
      <c r="H190" s="2">
        <v>1.2024270613878E+17</v>
      </c>
      <c r="I190" s="2">
        <v>1.202427061388E+17</v>
      </c>
      <c r="J190" s="2" t="s">
        <v>24</v>
      </c>
      <c r="K190" s="4">
        <v>6701</v>
      </c>
      <c r="L190">
        <v>94</v>
      </c>
      <c r="M190">
        <v>958.92</v>
      </c>
      <c r="N190">
        <f t="shared" si="6"/>
        <v>6031</v>
      </c>
      <c r="O190">
        <f t="shared" si="7"/>
        <v>2714</v>
      </c>
      <c r="P190" s="5">
        <f t="shared" si="8"/>
        <v>4423</v>
      </c>
      <c r="S190">
        <v>634918</v>
      </c>
      <c r="T190">
        <v>2911</v>
      </c>
    </row>
    <row r="191" spans="1:20" ht="15.75" thickBot="1" x14ac:dyDescent="0.3">
      <c r="A191" s="3">
        <v>46110</v>
      </c>
      <c r="B191" s="2" t="s">
        <v>19</v>
      </c>
      <c r="C191" s="2" t="s">
        <v>50</v>
      </c>
      <c r="D191" s="2" t="s">
        <v>51</v>
      </c>
      <c r="E191" s="2" t="s">
        <v>22</v>
      </c>
      <c r="F191" s="2">
        <v>1277955380444250</v>
      </c>
      <c r="G191" s="2">
        <v>1.2024229057228E+17</v>
      </c>
      <c r="H191" s="2">
        <v>1.2024270613878E+17</v>
      </c>
      <c r="I191" s="2">
        <v>1.202427061388E+17</v>
      </c>
      <c r="J191" s="2" t="s">
        <v>36</v>
      </c>
      <c r="K191" s="4">
        <v>5809</v>
      </c>
      <c r="L191">
        <v>880</v>
      </c>
      <c r="M191">
        <v>437.35</v>
      </c>
      <c r="N191">
        <f t="shared" si="6"/>
        <v>5228</v>
      </c>
      <c r="O191">
        <f t="shared" si="7"/>
        <v>2353</v>
      </c>
      <c r="P191" s="5">
        <f t="shared" si="8"/>
        <v>3834</v>
      </c>
      <c r="S191">
        <v>8</v>
      </c>
    </row>
    <row r="192" spans="1:20" ht="15.75" thickBot="1" x14ac:dyDescent="0.3">
      <c r="A192" s="3">
        <v>46110</v>
      </c>
      <c r="B192" s="2" t="s">
        <v>19</v>
      </c>
      <c r="C192" s="2" t="s">
        <v>50</v>
      </c>
      <c r="D192" s="2" t="s">
        <v>51</v>
      </c>
      <c r="E192" s="2" t="s">
        <v>22</v>
      </c>
      <c r="F192" s="2">
        <v>1277955380444250</v>
      </c>
      <c r="G192" s="2">
        <v>1.2024229057228E+17</v>
      </c>
      <c r="H192" s="2">
        <v>1.2024270613878E+17</v>
      </c>
      <c r="I192" s="2">
        <v>1.202427061388E+17</v>
      </c>
      <c r="J192" s="2" t="s">
        <v>52</v>
      </c>
      <c r="K192" s="4">
        <v>6552</v>
      </c>
      <c r="L192">
        <v>355</v>
      </c>
      <c r="M192">
        <v>1940.55</v>
      </c>
      <c r="N192">
        <f t="shared" si="6"/>
        <v>5897</v>
      </c>
      <c r="O192">
        <f t="shared" si="7"/>
        <v>2654</v>
      </c>
      <c r="P192" s="5">
        <f t="shared" si="8"/>
        <v>4324</v>
      </c>
      <c r="S192">
        <v>141</v>
      </c>
      <c r="T192">
        <v>7</v>
      </c>
    </row>
    <row r="193" spans="1:20" ht="15.75" thickBot="1" x14ac:dyDescent="0.3">
      <c r="A193" s="3">
        <v>46110</v>
      </c>
      <c r="B193" s="2" t="s">
        <v>19</v>
      </c>
      <c r="C193" s="2" t="s">
        <v>50</v>
      </c>
      <c r="D193" s="2" t="s">
        <v>53</v>
      </c>
      <c r="E193" s="2" t="s">
        <v>22</v>
      </c>
      <c r="F193" s="2">
        <v>1277955380444250</v>
      </c>
      <c r="G193" s="2">
        <v>1.2024229057228E+17</v>
      </c>
      <c r="H193" s="2">
        <v>1.2024270613878E+17</v>
      </c>
      <c r="I193" s="2">
        <v>1.2024270613881E+17</v>
      </c>
      <c r="J193" s="2" t="s">
        <v>23</v>
      </c>
      <c r="K193" s="4">
        <v>9609</v>
      </c>
      <c r="L193">
        <v>152</v>
      </c>
      <c r="M193">
        <v>1068.8800000000001</v>
      </c>
      <c r="N193">
        <f t="shared" si="6"/>
        <v>8648</v>
      </c>
      <c r="O193">
        <f t="shared" si="7"/>
        <v>3892</v>
      </c>
      <c r="P193" s="5">
        <f t="shared" si="8"/>
        <v>6342</v>
      </c>
      <c r="S193">
        <v>302</v>
      </c>
    </row>
    <row r="194" spans="1:20" ht="15.75" thickBot="1" x14ac:dyDescent="0.3">
      <c r="A194" s="3">
        <v>46110</v>
      </c>
      <c r="B194" s="2" t="s">
        <v>19</v>
      </c>
      <c r="C194" s="2" t="s">
        <v>50</v>
      </c>
      <c r="D194" s="2" t="s">
        <v>53</v>
      </c>
      <c r="E194" s="2" t="s">
        <v>22</v>
      </c>
      <c r="F194" s="2">
        <v>1277955380444250</v>
      </c>
      <c r="G194" s="2">
        <v>1.2024229057228E+17</v>
      </c>
      <c r="H194" s="2">
        <v>1.2024270613878E+17</v>
      </c>
      <c r="I194" s="2">
        <v>1.2024270613881E+17</v>
      </c>
      <c r="J194" s="2" t="s">
        <v>24</v>
      </c>
      <c r="K194" s="4">
        <v>4998</v>
      </c>
      <c r="L194">
        <v>719</v>
      </c>
      <c r="M194">
        <v>1281.6099999999999</v>
      </c>
      <c r="N194">
        <f t="shared" si="6"/>
        <v>4498</v>
      </c>
      <c r="O194">
        <f t="shared" si="7"/>
        <v>2024</v>
      </c>
      <c r="P194" s="5">
        <f t="shared" si="8"/>
        <v>3299</v>
      </c>
      <c r="S194">
        <v>33600</v>
      </c>
      <c r="T194">
        <v>127</v>
      </c>
    </row>
    <row r="195" spans="1:20" ht="15.75" thickBot="1" x14ac:dyDescent="0.3">
      <c r="A195" s="3">
        <v>46110</v>
      </c>
      <c r="B195" s="2" t="s">
        <v>19</v>
      </c>
      <c r="C195" s="2" t="s">
        <v>50</v>
      </c>
      <c r="D195" s="2" t="s">
        <v>53</v>
      </c>
      <c r="E195" s="2" t="s">
        <v>22</v>
      </c>
      <c r="F195" s="2">
        <v>1277955380444250</v>
      </c>
      <c r="G195" s="2">
        <v>1.2024229057228E+17</v>
      </c>
      <c r="H195" s="2">
        <v>1.2024270613878E+17</v>
      </c>
      <c r="I195" s="2">
        <v>1.2024270613881E+17</v>
      </c>
      <c r="J195" s="2" t="s">
        <v>36</v>
      </c>
      <c r="K195" s="4">
        <v>2317</v>
      </c>
      <c r="L195">
        <v>97</v>
      </c>
      <c r="M195">
        <v>703.38</v>
      </c>
      <c r="N195">
        <f t="shared" ref="N195:N258" si="9">ROUND(K195*0.9,0)</f>
        <v>2085</v>
      </c>
      <c r="O195">
        <f t="shared" ref="O195:O258" si="10">ROUND(N195*0.45,0)</f>
        <v>938</v>
      </c>
      <c r="P195" s="5">
        <f t="shared" ref="P195:P258" si="11">ROUND(K195*0.66,0)</f>
        <v>1529</v>
      </c>
      <c r="S195">
        <v>7</v>
      </c>
    </row>
    <row r="196" spans="1:20" ht="15.75" thickBot="1" x14ac:dyDescent="0.3">
      <c r="A196" s="3">
        <v>46110</v>
      </c>
      <c r="B196" s="2" t="s">
        <v>19</v>
      </c>
      <c r="C196" s="2" t="s">
        <v>50</v>
      </c>
      <c r="D196" s="2" t="s">
        <v>53</v>
      </c>
      <c r="E196" s="2" t="s">
        <v>22</v>
      </c>
      <c r="F196" s="2">
        <v>1277955380444250</v>
      </c>
      <c r="G196" s="2">
        <v>1.2024229057228E+17</v>
      </c>
      <c r="H196" s="2">
        <v>1.2024270613878E+17</v>
      </c>
      <c r="I196" s="2">
        <v>1.2024270613881E+17</v>
      </c>
      <c r="J196" s="2" t="s">
        <v>52</v>
      </c>
      <c r="K196" s="4">
        <v>8933</v>
      </c>
      <c r="L196">
        <v>756</v>
      </c>
      <c r="M196">
        <v>716.15</v>
      </c>
      <c r="N196">
        <f t="shared" si="9"/>
        <v>8040</v>
      </c>
      <c r="O196">
        <f t="shared" si="10"/>
        <v>3618</v>
      </c>
      <c r="P196" s="5">
        <f t="shared" si="11"/>
        <v>5896</v>
      </c>
      <c r="S196">
        <v>2270</v>
      </c>
      <c r="T196">
        <v>46</v>
      </c>
    </row>
    <row r="197" spans="1:20" ht="15.75" thickBot="1" x14ac:dyDescent="0.3">
      <c r="A197" s="3">
        <v>46110</v>
      </c>
      <c r="B197" s="2" t="s">
        <v>19</v>
      </c>
      <c r="C197" s="2" t="s">
        <v>50</v>
      </c>
      <c r="D197" s="2" t="s">
        <v>54</v>
      </c>
      <c r="E197" s="2" t="s">
        <v>22</v>
      </c>
      <c r="F197" s="2">
        <v>1277955380444250</v>
      </c>
      <c r="G197" s="2">
        <v>1.2024229057228E+17</v>
      </c>
      <c r="H197" s="2">
        <v>1.2024270613878E+17</v>
      </c>
      <c r="I197" s="2">
        <v>1.2024270623134E+17</v>
      </c>
      <c r="J197" s="2" t="s">
        <v>23</v>
      </c>
      <c r="K197" s="4">
        <v>6336</v>
      </c>
      <c r="L197">
        <v>821</v>
      </c>
      <c r="M197">
        <v>459.23</v>
      </c>
      <c r="N197">
        <f t="shared" si="9"/>
        <v>5702</v>
      </c>
      <c r="O197">
        <f t="shared" si="10"/>
        <v>2566</v>
      </c>
      <c r="P197" s="5">
        <f t="shared" si="11"/>
        <v>4182</v>
      </c>
      <c r="S197">
        <v>626</v>
      </c>
    </row>
    <row r="198" spans="1:20" ht="15.75" thickBot="1" x14ac:dyDescent="0.3">
      <c r="A198" s="3">
        <v>46110</v>
      </c>
      <c r="B198" s="2" t="s">
        <v>19</v>
      </c>
      <c r="C198" s="2" t="s">
        <v>50</v>
      </c>
      <c r="D198" s="2" t="s">
        <v>54</v>
      </c>
      <c r="E198" s="2" t="s">
        <v>22</v>
      </c>
      <c r="F198" s="2">
        <v>1277955380444250</v>
      </c>
      <c r="G198" s="2">
        <v>1.2024229057228E+17</v>
      </c>
      <c r="H198" s="2">
        <v>1.2024270613878E+17</v>
      </c>
      <c r="I198" s="2">
        <v>1.2024270623134E+17</v>
      </c>
      <c r="J198" s="2" t="s">
        <v>24</v>
      </c>
      <c r="K198" s="4">
        <v>8108</v>
      </c>
      <c r="L198">
        <v>898</v>
      </c>
      <c r="M198">
        <v>1651.16</v>
      </c>
      <c r="N198">
        <f t="shared" si="9"/>
        <v>7297</v>
      </c>
      <c r="O198">
        <f t="shared" si="10"/>
        <v>3284</v>
      </c>
      <c r="P198" s="5">
        <f t="shared" si="11"/>
        <v>5351</v>
      </c>
      <c r="S198">
        <v>208187</v>
      </c>
      <c r="T198">
        <v>847</v>
      </c>
    </row>
    <row r="199" spans="1:20" ht="15.75" thickBot="1" x14ac:dyDescent="0.3">
      <c r="A199" s="3">
        <v>46110</v>
      </c>
      <c r="B199" s="2" t="s">
        <v>19</v>
      </c>
      <c r="C199" s="2" t="s">
        <v>50</v>
      </c>
      <c r="D199" s="2" t="s">
        <v>54</v>
      </c>
      <c r="E199" s="2" t="s">
        <v>22</v>
      </c>
      <c r="F199" s="2">
        <v>1277955380444250</v>
      </c>
      <c r="G199" s="2">
        <v>1.2024229057228E+17</v>
      </c>
      <c r="H199" s="2">
        <v>1.2024270613878E+17</v>
      </c>
      <c r="I199" s="2">
        <v>1.2024270623134E+17</v>
      </c>
      <c r="J199" s="2" t="s">
        <v>36</v>
      </c>
      <c r="K199" s="4">
        <v>3597</v>
      </c>
      <c r="L199">
        <v>671</v>
      </c>
      <c r="M199">
        <v>1563.44</v>
      </c>
      <c r="N199">
        <f t="shared" si="9"/>
        <v>3237</v>
      </c>
      <c r="O199">
        <f t="shared" si="10"/>
        <v>1457</v>
      </c>
      <c r="P199" s="5">
        <f t="shared" si="11"/>
        <v>2374</v>
      </c>
      <c r="S199">
        <v>2</v>
      </c>
      <c r="T199">
        <v>1</v>
      </c>
    </row>
    <row r="200" spans="1:20" ht="15.75" thickBot="1" x14ac:dyDescent="0.3">
      <c r="A200" s="3">
        <v>46110</v>
      </c>
      <c r="B200" s="2" t="s">
        <v>19</v>
      </c>
      <c r="C200" s="2" t="s">
        <v>50</v>
      </c>
      <c r="D200" s="2" t="s">
        <v>54</v>
      </c>
      <c r="E200" s="2" t="s">
        <v>22</v>
      </c>
      <c r="F200" s="2">
        <v>1277955380444250</v>
      </c>
      <c r="G200" s="2">
        <v>1.2024229057228E+17</v>
      </c>
      <c r="H200" s="2">
        <v>1.2024270613878E+17</v>
      </c>
      <c r="I200" s="2">
        <v>1.2024270623134E+17</v>
      </c>
      <c r="J200" s="2" t="s">
        <v>52</v>
      </c>
      <c r="K200" s="4">
        <v>4685</v>
      </c>
      <c r="L200">
        <v>377</v>
      </c>
      <c r="M200">
        <v>1360.82</v>
      </c>
      <c r="N200">
        <f t="shared" si="9"/>
        <v>4217</v>
      </c>
      <c r="O200">
        <f t="shared" si="10"/>
        <v>1898</v>
      </c>
      <c r="P200" s="5">
        <f t="shared" si="11"/>
        <v>3092</v>
      </c>
      <c r="S200">
        <v>32</v>
      </c>
      <c r="T200">
        <v>1</v>
      </c>
    </row>
    <row r="201" spans="1:20" ht="15.75" thickBot="1" x14ac:dyDescent="0.3">
      <c r="A201" s="3">
        <v>46110</v>
      </c>
      <c r="B201" s="2" t="s">
        <v>25</v>
      </c>
      <c r="C201" s="2" t="s">
        <v>26</v>
      </c>
      <c r="D201" s="2" t="s">
        <v>35</v>
      </c>
      <c r="E201" s="2" t="s">
        <v>22</v>
      </c>
      <c r="F201" s="2">
        <v>1277955380444250</v>
      </c>
      <c r="G201" s="2">
        <v>1.2024231584645E+17</v>
      </c>
      <c r="H201" s="2">
        <v>1.2024231618176E+17</v>
      </c>
      <c r="I201" s="2">
        <v>1.2024235726836E+17</v>
      </c>
      <c r="J201" s="2" t="s">
        <v>23</v>
      </c>
      <c r="K201" s="4">
        <v>2052</v>
      </c>
      <c r="L201">
        <v>598</v>
      </c>
      <c r="M201">
        <v>1690.56</v>
      </c>
      <c r="N201">
        <f t="shared" si="9"/>
        <v>1847</v>
      </c>
      <c r="O201">
        <f t="shared" si="10"/>
        <v>831</v>
      </c>
      <c r="P201" s="5">
        <f t="shared" si="11"/>
        <v>1354</v>
      </c>
      <c r="S201">
        <v>4775</v>
      </c>
      <c r="T201">
        <v>436</v>
      </c>
    </row>
    <row r="202" spans="1:20" ht="15.75" thickBot="1" x14ac:dyDescent="0.3">
      <c r="A202" s="3">
        <v>46110</v>
      </c>
      <c r="B202" s="2" t="s">
        <v>25</v>
      </c>
      <c r="C202" s="2" t="s">
        <v>26</v>
      </c>
      <c r="D202" s="2" t="s">
        <v>35</v>
      </c>
      <c r="E202" s="2" t="s">
        <v>22</v>
      </c>
      <c r="F202" s="2">
        <v>1277955380444250</v>
      </c>
      <c r="G202" s="2">
        <v>1.2024231584645E+17</v>
      </c>
      <c r="H202" s="2">
        <v>1.2024231618176E+17</v>
      </c>
      <c r="I202" s="2">
        <v>1.2024235726836E+17</v>
      </c>
      <c r="J202" s="2" t="s">
        <v>24</v>
      </c>
      <c r="K202" s="4">
        <v>7049</v>
      </c>
      <c r="L202">
        <v>743</v>
      </c>
      <c r="M202">
        <v>698.34</v>
      </c>
      <c r="N202">
        <f t="shared" si="9"/>
        <v>6344</v>
      </c>
      <c r="O202">
        <f t="shared" si="10"/>
        <v>2855</v>
      </c>
      <c r="P202" s="5">
        <f t="shared" si="11"/>
        <v>4652</v>
      </c>
      <c r="S202">
        <v>6258</v>
      </c>
      <c r="T202">
        <v>592</v>
      </c>
    </row>
    <row r="203" spans="1:20" ht="15.75" thickBot="1" x14ac:dyDescent="0.3">
      <c r="A203" s="3">
        <v>46110</v>
      </c>
      <c r="B203" s="2" t="s">
        <v>25</v>
      </c>
      <c r="C203" s="2" t="s">
        <v>40</v>
      </c>
      <c r="D203" s="2" t="s">
        <v>41</v>
      </c>
      <c r="E203" s="2" t="s">
        <v>22</v>
      </c>
      <c r="F203" s="2">
        <v>1277955380444250</v>
      </c>
      <c r="G203" s="2">
        <v>1.2024231584645E+17</v>
      </c>
      <c r="H203" s="2">
        <v>1.2024246508913E+17</v>
      </c>
      <c r="I203" s="2">
        <v>1.2024246508915E+17</v>
      </c>
      <c r="J203" s="2" t="s">
        <v>23</v>
      </c>
      <c r="K203" s="4">
        <v>2495</v>
      </c>
      <c r="L203">
        <v>649</v>
      </c>
      <c r="M203">
        <v>560.24</v>
      </c>
      <c r="N203">
        <f t="shared" si="9"/>
        <v>2246</v>
      </c>
      <c r="O203">
        <f t="shared" si="10"/>
        <v>1011</v>
      </c>
      <c r="P203" s="5">
        <f t="shared" si="11"/>
        <v>1647</v>
      </c>
    </row>
    <row r="204" spans="1:20" ht="15.75" thickBot="1" x14ac:dyDescent="0.3">
      <c r="A204" s="3">
        <v>46110</v>
      </c>
      <c r="B204" s="2" t="s">
        <v>25</v>
      </c>
      <c r="C204" s="2" t="s">
        <v>40</v>
      </c>
      <c r="D204" s="2" t="s">
        <v>41</v>
      </c>
      <c r="E204" s="2" t="s">
        <v>22</v>
      </c>
      <c r="F204" s="2">
        <v>1277955380444250</v>
      </c>
      <c r="G204" s="2">
        <v>1.2024231584645E+17</v>
      </c>
      <c r="H204" s="2">
        <v>1.2024246508913E+17</v>
      </c>
      <c r="I204" s="2">
        <v>1.2024246508915E+17</v>
      </c>
      <c r="J204" s="2" t="s">
        <v>24</v>
      </c>
      <c r="K204" s="4">
        <v>9734</v>
      </c>
      <c r="L204">
        <v>829</v>
      </c>
      <c r="M204">
        <v>353.68</v>
      </c>
      <c r="N204">
        <f t="shared" si="9"/>
        <v>8761</v>
      </c>
      <c r="O204">
        <f t="shared" si="10"/>
        <v>3942</v>
      </c>
      <c r="P204" s="5">
        <f t="shared" si="11"/>
        <v>6424</v>
      </c>
    </row>
    <row r="205" spans="1:20" ht="15.75" thickBot="1" x14ac:dyDescent="0.3">
      <c r="A205" s="3">
        <v>46110</v>
      </c>
      <c r="B205" s="2" t="s">
        <v>25</v>
      </c>
      <c r="C205" s="2" t="s">
        <v>40</v>
      </c>
      <c r="D205" s="2" t="s">
        <v>42</v>
      </c>
      <c r="E205" s="2" t="s">
        <v>22</v>
      </c>
      <c r="F205" s="2">
        <v>1277955380444250</v>
      </c>
      <c r="G205" s="2">
        <v>1.2024231584645E+17</v>
      </c>
      <c r="H205" s="2">
        <v>1.2024246508913E+17</v>
      </c>
      <c r="I205" s="2">
        <v>1.2024246532294E+17</v>
      </c>
      <c r="J205" s="2" t="s">
        <v>23</v>
      </c>
      <c r="K205" s="4">
        <v>9439</v>
      </c>
      <c r="L205">
        <v>864</v>
      </c>
      <c r="M205">
        <v>226.44</v>
      </c>
      <c r="N205">
        <f t="shared" si="9"/>
        <v>8495</v>
      </c>
      <c r="O205">
        <f t="shared" si="10"/>
        <v>3823</v>
      </c>
      <c r="P205" s="5">
        <f t="shared" si="11"/>
        <v>6230</v>
      </c>
    </row>
    <row r="206" spans="1:20" ht="15.75" thickBot="1" x14ac:dyDescent="0.3">
      <c r="A206" s="3">
        <v>46110</v>
      </c>
      <c r="B206" s="2" t="s">
        <v>25</v>
      </c>
      <c r="C206" s="2" t="s">
        <v>40</v>
      </c>
      <c r="D206" s="2" t="s">
        <v>42</v>
      </c>
      <c r="E206" s="2" t="s">
        <v>22</v>
      </c>
      <c r="F206" s="2">
        <v>1277955380444250</v>
      </c>
      <c r="G206" s="2">
        <v>1.2024231584645E+17</v>
      </c>
      <c r="H206" s="2">
        <v>1.2024246508913E+17</v>
      </c>
      <c r="I206" s="2">
        <v>1.2024246532294E+17</v>
      </c>
      <c r="J206" s="2" t="s">
        <v>24</v>
      </c>
      <c r="K206" s="4">
        <v>7311</v>
      </c>
      <c r="L206">
        <v>363</v>
      </c>
      <c r="M206">
        <v>1386.79</v>
      </c>
      <c r="N206">
        <f t="shared" si="9"/>
        <v>6580</v>
      </c>
      <c r="O206">
        <f t="shared" si="10"/>
        <v>2961</v>
      </c>
      <c r="P206" s="5">
        <f t="shared" si="11"/>
        <v>4825</v>
      </c>
    </row>
    <row r="207" spans="1:20" ht="15.75" thickBot="1" x14ac:dyDescent="0.3">
      <c r="A207" s="3">
        <v>46110</v>
      </c>
      <c r="B207" s="2" t="s">
        <v>25</v>
      </c>
      <c r="C207" s="2" t="s">
        <v>28</v>
      </c>
      <c r="D207" s="2" t="s">
        <v>37</v>
      </c>
      <c r="E207" s="2" t="s">
        <v>22</v>
      </c>
      <c r="F207" s="2">
        <v>1277955380444250</v>
      </c>
      <c r="G207" s="2">
        <v>1.2024231584645E+17</v>
      </c>
      <c r="H207" s="2">
        <v>1.2024231613167E+17</v>
      </c>
      <c r="I207" s="2">
        <v>1.2024235723042E+17</v>
      </c>
      <c r="J207" s="2" t="s">
        <v>23</v>
      </c>
      <c r="K207" s="4">
        <v>6727</v>
      </c>
      <c r="L207">
        <v>791</v>
      </c>
      <c r="M207">
        <v>831.42</v>
      </c>
      <c r="N207">
        <f t="shared" si="9"/>
        <v>6054</v>
      </c>
      <c r="O207">
        <f t="shared" si="10"/>
        <v>2724</v>
      </c>
      <c r="P207" s="5">
        <f t="shared" si="11"/>
        <v>4440</v>
      </c>
      <c r="S207">
        <v>6125</v>
      </c>
      <c r="T207">
        <v>576</v>
      </c>
    </row>
    <row r="208" spans="1:20" ht="15.75" thickBot="1" x14ac:dyDescent="0.3">
      <c r="A208" s="3">
        <v>46110</v>
      </c>
      <c r="B208" s="2" t="s">
        <v>25</v>
      </c>
      <c r="C208" s="2" t="s">
        <v>28</v>
      </c>
      <c r="D208" s="2" t="s">
        <v>37</v>
      </c>
      <c r="E208" s="2" t="s">
        <v>22</v>
      </c>
      <c r="F208" s="2">
        <v>1277955380444250</v>
      </c>
      <c r="G208" s="2">
        <v>1.2024231584645E+17</v>
      </c>
      <c r="H208" s="2">
        <v>1.2024231613167E+17</v>
      </c>
      <c r="I208" s="2">
        <v>1.2024235723042E+17</v>
      </c>
      <c r="J208" s="2" t="s">
        <v>24</v>
      </c>
      <c r="K208" s="4">
        <v>4977</v>
      </c>
      <c r="L208">
        <v>671</v>
      </c>
      <c r="M208">
        <v>1027.29</v>
      </c>
      <c r="N208">
        <f t="shared" si="9"/>
        <v>4479</v>
      </c>
      <c r="O208">
        <f t="shared" si="10"/>
        <v>2016</v>
      </c>
      <c r="P208" s="5">
        <f t="shared" si="11"/>
        <v>3285</v>
      </c>
      <c r="S208">
        <v>8328</v>
      </c>
      <c r="T208">
        <v>353</v>
      </c>
    </row>
    <row r="209" spans="1:20" ht="15.75" thickBot="1" x14ac:dyDescent="0.3">
      <c r="A209" s="3">
        <v>46110</v>
      </c>
      <c r="B209" s="2" t="s">
        <v>25</v>
      </c>
      <c r="C209" s="2" t="s">
        <v>28</v>
      </c>
      <c r="D209" s="2" t="s">
        <v>37</v>
      </c>
      <c r="E209" s="2" t="s">
        <v>22</v>
      </c>
      <c r="F209" s="2">
        <v>1277955380444250</v>
      </c>
      <c r="G209" s="2">
        <v>1.2024231584645E+17</v>
      </c>
      <c r="H209" s="2">
        <v>1.2024231613167E+17</v>
      </c>
      <c r="I209" s="2">
        <v>1.2024235723042E+17</v>
      </c>
      <c r="J209" s="2" t="s">
        <v>36</v>
      </c>
      <c r="K209" s="4">
        <v>7813</v>
      </c>
      <c r="L209">
        <v>945</v>
      </c>
      <c r="M209">
        <v>1781.26</v>
      </c>
      <c r="N209">
        <f t="shared" si="9"/>
        <v>7032</v>
      </c>
      <c r="O209">
        <f t="shared" si="10"/>
        <v>3164</v>
      </c>
      <c r="P209" s="5">
        <f t="shared" si="11"/>
        <v>5157</v>
      </c>
    </row>
    <row r="210" spans="1:20" ht="15.75" thickBot="1" x14ac:dyDescent="0.3">
      <c r="A210" s="3">
        <v>46110</v>
      </c>
      <c r="B210" s="2" t="s">
        <v>25</v>
      </c>
      <c r="C210" s="2" t="s">
        <v>30</v>
      </c>
      <c r="D210" s="2" t="s">
        <v>38</v>
      </c>
      <c r="E210" s="2" t="s">
        <v>22</v>
      </c>
      <c r="F210" s="2">
        <v>1277955380444250</v>
      </c>
      <c r="G210" s="2">
        <v>1.2024231584645E+17</v>
      </c>
      <c r="H210" s="2">
        <v>1.2024231592817E+17</v>
      </c>
      <c r="I210" s="2">
        <v>1.202423571795E+17</v>
      </c>
      <c r="J210" s="2" t="s">
        <v>23</v>
      </c>
      <c r="K210" s="4">
        <v>2057</v>
      </c>
      <c r="L210">
        <v>878</v>
      </c>
      <c r="M210">
        <v>237.64</v>
      </c>
      <c r="N210">
        <f t="shared" si="9"/>
        <v>1851</v>
      </c>
      <c r="O210">
        <f t="shared" si="10"/>
        <v>833</v>
      </c>
      <c r="P210" s="5">
        <f t="shared" si="11"/>
        <v>1358</v>
      </c>
      <c r="S210">
        <v>4968</v>
      </c>
      <c r="T210">
        <v>520</v>
      </c>
    </row>
    <row r="211" spans="1:20" ht="15.75" thickBot="1" x14ac:dyDescent="0.3">
      <c r="A211" s="3">
        <v>46110</v>
      </c>
      <c r="B211" s="2" t="s">
        <v>25</v>
      </c>
      <c r="C211" s="2" t="s">
        <v>30</v>
      </c>
      <c r="D211" s="2" t="s">
        <v>38</v>
      </c>
      <c r="E211" s="2" t="s">
        <v>22</v>
      </c>
      <c r="F211" s="2">
        <v>1277955380444250</v>
      </c>
      <c r="G211" s="2">
        <v>1.2024231584645E+17</v>
      </c>
      <c r="H211" s="2">
        <v>1.2024231592817E+17</v>
      </c>
      <c r="I211" s="2">
        <v>1.202423571795E+17</v>
      </c>
      <c r="J211" s="2" t="s">
        <v>24</v>
      </c>
      <c r="K211" s="4">
        <v>8469</v>
      </c>
      <c r="L211">
        <v>791</v>
      </c>
      <c r="M211">
        <v>1583.59</v>
      </c>
      <c r="N211">
        <f t="shared" si="9"/>
        <v>7622</v>
      </c>
      <c r="O211">
        <f t="shared" si="10"/>
        <v>3430</v>
      </c>
      <c r="P211" s="5">
        <f t="shared" si="11"/>
        <v>5590</v>
      </c>
      <c r="S211">
        <v>5866</v>
      </c>
      <c r="T211">
        <v>364</v>
      </c>
    </row>
    <row r="212" spans="1:20" ht="15.75" thickBot="1" x14ac:dyDescent="0.3">
      <c r="A212" s="3">
        <v>46110</v>
      </c>
      <c r="B212" s="2" t="s">
        <v>25</v>
      </c>
      <c r="C212" s="2" t="s">
        <v>32</v>
      </c>
      <c r="D212" s="2" t="s">
        <v>39</v>
      </c>
      <c r="E212" s="2" t="s">
        <v>22</v>
      </c>
      <c r="F212" s="2">
        <v>1277955380444250</v>
      </c>
      <c r="G212" s="2">
        <v>1.2024231584645E+17</v>
      </c>
      <c r="H212" s="2">
        <v>1.2024231584646E+17</v>
      </c>
      <c r="I212" s="2">
        <v>1.202423570912E+17</v>
      </c>
      <c r="J212" s="2" t="s">
        <v>23</v>
      </c>
      <c r="K212" s="4">
        <v>6402</v>
      </c>
      <c r="L212">
        <v>455</v>
      </c>
      <c r="M212">
        <v>686.23</v>
      </c>
      <c r="N212">
        <f t="shared" si="9"/>
        <v>5762</v>
      </c>
      <c r="O212">
        <f t="shared" si="10"/>
        <v>2593</v>
      </c>
      <c r="P212" s="5">
        <f t="shared" si="11"/>
        <v>4225</v>
      </c>
    </row>
    <row r="213" spans="1:20" ht="15.75" thickBot="1" x14ac:dyDescent="0.3">
      <c r="A213" s="3">
        <v>46110</v>
      </c>
      <c r="B213" s="2" t="s">
        <v>25</v>
      </c>
      <c r="C213" s="2" t="s">
        <v>32</v>
      </c>
      <c r="D213" s="2" t="s">
        <v>39</v>
      </c>
      <c r="E213" s="2" t="s">
        <v>22</v>
      </c>
      <c r="F213" s="2">
        <v>1277955380444250</v>
      </c>
      <c r="G213" s="2">
        <v>1.2024231584645E+17</v>
      </c>
      <c r="H213" s="2">
        <v>1.2024231584646E+17</v>
      </c>
      <c r="I213" s="2">
        <v>1.202423570912E+17</v>
      </c>
      <c r="J213" s="2" t="s">
        <v>24</v>
      </c>
      <c r="K213" s="4">
        <v>6559</v>
      </c>
      <c r="L213">
        <v>615</v>
      </c>
      <c r="M213">
        <v>1453.4</v>
      </c>
      <c r="N213">
        <f t="shared" si="9"/>
        <v>5903</v>
      </c>
      <c r="O213">
        <f t="shared" si="10"/>
        <v>2656</v>
      </c>
      <c r="P213" s="5">
        <f t="shared" si="11"/>
        <v>4329</v>
      </c>
    </row>
    <row r="214" spans="1:20" ht="15.75" thickBot="1" x14ac:dyDescent="0.3">
      <c r="A214" s="3">
        <v>46111</v>
      </c>
      <c r="B214" s="2" t="s">
        <v>47</v>
      </c>
      <c r="C214" s="2" t="s">
        <v>48</v>
      </c>
      <c r="D214" s="2" t="s">
        <v>49</v>
      </c>
      <c r="E214" s="2" t="s">
        <v>22</v>
      </c>
      <c r="F214" s="2">
        <v>1277955380444250</v>
      </c>
      <c r="G214" s="2">
        <v>1.2024261720294E+17</v>
      </c>
      <c r="H214" s="2">
        <v>1.2024261720296E+17</v>
      </c>
      <c r="I214" s="2">
        <v>1.2024261720295E+17</v>
      </c>
      <c r="J214" s="2" t="s">
        <v>23</v>
      </c>
      <c r="K214" s="4">
        <v>4445</v>
      </c>
      <c r="L214">
        <v>104</v>
      </c>
      <c r="M214">
        <v>1896.93</v>
      </c>
      <c r="N214">
        <f t="shared" si="9"/>
        <v>4001</v>
      </c>
      <c r="O214">
        <f t="shared" si="10"/>
        <v>1800</v>
      </c>
      <c r="P214" s="5">
        <f t="shared" si="11"/>
        <v>2934</v>
      </c>
      <c r="R214">
        <v>141562</v>
      </c>
      <c r="S214">
        <v>537410</v>
      </c>
      <c r="T214">
        <v>66217</v>
      </c>
    </row>
    <row r="215" spans="1:20" ht="15.75" thickBot="1" x14ac:dyDescent="0.3">
      <c r="A215" s="3">
        <v>46111</v>
      </c>
      <c r="B215" s="2" t="s">
        <v>47</v>
      </c>
      <c r="C215" s="2" t="s">
        <v>48</v>
      </c>
      <c r="D215" s="2" t="s">
        <v>49</v>
      </c>
      <c r="E215" s="2" t="s">
        <v>22</v>
      </c>
      <c r="F215" s="2">
        <v>1277955380444250</v>
      </c>
      <c r="G215" s="2">
        <v>1.2024261720294E+17</v>
      </c>
      <c r="H215" s="2">
        <v>1.2024261720296E+17</v>
      </c>
      <c r="I215" s="2">
        <v>1.2024261720295E+17</v>
      </c>
      <c r="J215" s="2" t="s">
        <v>24</v>
      </c>
      <c r="K215" s="4">
        <v>5618</v>
      </c>
      <c r="L215">
        <v>468</v>
      </c>
      <c r="M215">
        <v>280.94</v>
      </c>
      <c r="N215">
        <f t="shared" si="9"/>
        <v>5056</v>
      </c>
      <c r="O215">
        <f t="shared" si="10"/>
        <v>2275</v>
      </c>
      <c r="P215" s="5">
        <f t="shared" si="11"/>
        <v>3708</v>
      </c>
      <c r="R215">
        <v>539466</v>
      </c>
      <c r="S215">
        <v>1145880</v>
      </c>
      <c r="T215">
        <v>290237</v>
      </c>
    </row>
    <row r="216" spans="1:20" ht="15.75" thickBot="1" x14ac:dyDescent="0.3">
      <c r="A216" s="3">
        <v>46111</v>
      </c>
      <c r="B216" s="2" t="s">
        <v>19</v>
      </c>
      <c r="C216" s="2" t="s">
        <v>20</v>
      </c>
      <c r="D216" s="2" t="s">
        <v>21</v>
      </c>
      <c r="E216" s="2" t="s">
        <v>22</v>
      </c>
      <c r="F216" s="2">
        <v>1277955380444250</v>
      </c>
      <c r="G216" s="2">
        <v>1.2024229057228E+17</v>
      </c>
      <c r="H216" s="2">
        <v>1.2024229057229E+17</v>
      </c>
      <c r="I216" s="2">
        <v>1.2024229057227E+17</v>
      </c>
      <c r="J216" s="2" t="s">
        <v>23</v>
      </c>
      <c r="K216" s="4">
        <v>2034</v>
      </c>
      <c r="L216">
        <v>147</v>
      </c>
      <c r="M216">
        <v>780.42</v>
      </c>
      <c r="N216">
        <f t="shared" si="9"/>
        <v>1831</v>
      </c>
      <c r="O216">
        <f t="shared" si="10"/>
        <v>824</v>
      </c>
      <c r="P216" s="5">
        <f t="shared" si="11"/>
        <v>1342</v>
      </c>
      <c r="S216">
        <v>404</v>
      </c>
      <c r="T216">
        <v>13</v>
      </c>
    </row>
    <row r="217" spans="1:20" ht="15.75" thickBot="1" x14ac:dyDescent="0.3">
      <c r="A217" s="3">
        <v>46111</v>
      </c>
      <c r="B217" s="2" t="s">
        <v>19</v>
      </c>
      <c r="C217" s="2" t="s">
        <v>20</v>
      </c>
      <c r="D217" s="2" t="s">
        <v>21</v>
      </c>
      <c r="E217" s="2" t="s">
        <v>22</v>
      </c>
      <c r="F217" s="2">
        <v>1277955380444250</v>
      </c>
      <c r="G217" s="2">
        <v>1.2024229057228E+17</v>
      </c>
      <c r="H217" s="2">
        <v>1.2024229057229E+17</v>
      </c>
      <c r="I217" s="2">
        <v>1.2024229057227E+17</v>
      </c>
      <c r="J217" s="2" t="s">
        <v>24</v>
      </c>
      <c r="K217" s="4">
        <v>8767</v>
      </c>
      <c r="L217">
        <v>300</v>
      </c>
      <c r="M217">
        <v>321.95999999999998</v>
      </c>
      <c r="N217">
        <f t="shared" si="9"/>
        <v>7890</v>
      </c>
      <c r="O217">
        <f t="shared" si="10"/>
        <v>3551</v>
      </c>
      <c r="P217" s="5">
        <f t="shared" si="11"/>
        <v>5786</v>
      </c>
      <c r="S217">
        <v>80063</v>
      </c>
      <c r="T217">
        <v>322</v>
      </c>
    </row>
    <row r="218" spans="1:20" ht="15.75" thickBot="1" x14ac:dyDescent="0.3">
      <c r="A218" s="3">
        <v>46111</v>
      </c>
      <c r="B218" s="2" t="s">
        <v>19</v>
      </c>
      <c r="C218" s="2" t="s">
        <v>20</v>
      </c>
      <c r="D218" s="2" t="s">
        <v>34</v>
      </c>
      <c r="E218" s="2" t="s">
        <v>22</v>
      </c>
      <c r="F218" s="2">
        <v>1277955380444250</v>
      </c>
      <c r="G218" s="2">
        <v>1.2024229057228E+17</v>
      </c>
      <c r="H218" s="2">
        <v>1.2024229057229E+17</v>
      </c>
      <c r="I218" s="2">
        <v>1.2024229334046E+17</v>
      </c>
      <c r="J218" s="2" t="s">
        <v>23</v>
      </c>
      <c r="K218" s="4">
        <v>5868</v>
      </c>
      <c r="L218">
        <v>369</v>
      </c>
      <c r="M218">
        <v>1513.75</v>
      </c>
      <c r="N218">
        <f t="shared" si="9"/>
        <v>5281</v>
      </c>
      <c r="O218">
        <f t="shared" si="10"/>
        <v>2376</v>
      </c>
      <c r="P218" s="5">
        <f t="shared" si="11"/>
        <v>3873</v>
      </c>
      <c r="S218">
        <v>152</v>
      </c>
      <c r="T218">
        <v>1</v>
      </c>
    </row>
    <row r="219" spans="1:20" ht="15.75" thickBot="1" x14ac:dyDescent="0.3">
      <c r="A219" s="3">
        <v>46111</v>
      </c>
      <c r="B219" s="2" t="s">
        <v>19</v>
      </c>
      <c r="C219" s="2" t="s">
        <v>20</v>
      </c>
      <c r="D219" s="2" t="s">
        <v>34</v>
      </c>
      <c r="E219" s="2" t="s">
        <v>22</v>
      </c>
      <c r="F219" s="2">
        <v>1277955380444250</v>
      </c>
      <c r="G219" s="2">
        <v>1.2024229057228E+17</v>
      </c>
      <c r="H219" s="2">
        <v>1.2024229057229E+17</v>
      </c>
      <c r="I219" s="2">
        <v>1.2024229334046E+17</v>
      </c>
      <c r="J219" s="2" t="s">
        <v>24</v>
      </c>
      <c r="K219" s="4">
        <v>5163</v>
      </c>
      <c r="L219">
        <v>533</v>
      </c>
      <c r="M219">
        <v>1210.75</v>
      </c>
      <c r="N219">
        <f t="shared" si="9"/>
        <v>4647</v>
      </c>
      <c r="O219">
        <f t="shared" si="10"/>
        <v>2091</v>
      </c>
      <c r="P219" s="5">
        <f t="shared" si="11"/>
        <v>3408</v>
      </c>
      <c r="S219">
        <v>94071</v>
      </c>
      <c r="T219">
        <v>381</v>
      </c>
    </row>
    <row r="220" spans="1:20" ht="15.75" thickBot="1" x14ac:dyDescent="0.3">
      <c r="A220" s="3">
        <v>46111</v>
      </c>
      <c r="B220" s="2" t="s">
        <v>19</v>
      </c>
      <c r="C220" s="2" t="s">
        <v>50</v>
      </c>
      <c r="D220" s="2" t="s">
        <v>51</v>
      </c>
      <c r="E220" s="2" t="s">
        <v>22</v>
      </c>
      <c r="F220" s="2">
        <v>1277955380444250</v>
      </c>
      <c r="G220" s="2">
        <v>1.2024229057228E+17</v>
      </c>
      <c r="H220" s="2">
        <v>1.2024270613878E+17</v>
      </c>
      <c r="I220" s="2">
        <v>1.202427061388E+17</v>
      </c>
      <c r="J220" s="2" t="s">
        <v>23</v>
      </c>
      <c r="K220" s="4">
        <v>1870</v>
      </c>
      <c r="L220">
        <v>677</v>
      </c>
      <c r="M220">
        <v>119.95</v>
      </c>
      <c r="N220">
        <f t="shared" si="9"/>
        <v>1683</v>
      </c>
      <c r="O220">
        <f t="shared" si="10"/>
        <v>757</v>
      </c>
      <c r="P220" s="5">
        <f t="shared" si="11"/>
        <v>1234</v>
      </c>
      <c r="S220">
        <v>32548</v>
      </c>
      <c r="T220">
        <v>864</v>
      </c>
    </row>
    <row r="221" spans="1:20" ht="15.75" thickBot="1" x14ac:dyDescent="0.3">
      <c r="A221" s="3">
        <v>46111</v>
      </c>
      <c r="B221" s="2" t="s">
        <v>19</v>
      </c>
      <c r="C221" s="2" t="s">
        <v>50</v>
      </c>
      <c r="D221" s="2" t="s">
        <v>51</v>
      </c>
      <c r="E221" s="2" t="s">
        <v>22</v>
      </c>
      <c r="F221" s="2">
        <v>1277955380444250</v>
      </c>
      <c r="G221" s="2">
        <v>1.2024229057228E+17</v>
      </c>
      <c r="H221" s="2">
        <v>1.2024270613878E+17</v>
      </c>
      <c r="I221" s="2">
        <v>1.202427061388E+17</v>
      </c>
      <c r="J221" s="2" t="s">
        <v>24</v>
      </c>
      <c r="K221" s="4">
        <v>5047</v>
      </c>
      <c r="L221">
        <v>941</v>
      </c>
      <c r="M221">
        <v>408.61</v>
      </c>
      <c r="N221">
        <f t="shared" si="9"/>
        <v>4542</v>
      </c>
      <c r="O221">
        <f t="shared" si="10"/>
        <v>2044</v>
      </c>
      <c r="P221" s="5">
        <f t="shared" si="11"/>
        <v>3331</v>
      </c>
      <c r="S221">
        <v>638580</v>
      </c>
      <c r="T221">
        <v>3900</v>
      </c>
    </row>
    <row r="222" spans="1:20" ht="15.75" thickBot="1" x14ac:dyDescent="0.3">
      <c r="A222" s="3">
        <v>46111</v>
      </c>
      <c r="B222" s="2" t="s">
        <v>19</v>
      </c>
      <c r="C222" s="2" t="s">
        <v>50</v>
      </c>
      <c r="D222" s="2" t="s">
        <v>51</v>
      </c>
      <c r="E222" s="2" t="s">
        <v>22</v>
      </c>
      <c r="F222" s="2">
        <v>1277955380444250</v>
      </c>
      <c r="G222" s="2">
        <v>1.2024229057228E+17</v>
      </c>
      <c r="H222" s="2">
        <v>1.2024270613878E+17</v>
      </c>
      <c r="I222" s="2">
        <v>1.202427061388E+17</v>
      </c>
      <c r="J222" s="2" t="s">
        <v>52</v>
      </c>
      <c r="K222" s="4">
        <v>5623</v>
      </c>
      <c r="L222">
        <v>156</v>
      </c>
      <c r="M222">
        <v>294.08</v>
      </c>
      <c r="N222">
        <f t="shared" si="9"/>
        <v>5061</v>
      </c>
      <c r="O222">
        <f t="shared" si="10"/>
        <v>2277</v>
      </c>
      <c r="P222" s="5">
        <f t="shared" si="11"/>
        <v>3711</v>
      </c>
      <c r="S222">
        <v>512</v>
      </c>
      <c r="T222">
        <v>29</v>
      </c>
    </row>
    <row r="223" spans="1:20" ht="15.75" thickBot="1" x14ac:dyDescent="0.3">
      <c r="A223" s="3">
        <v>46111</v>
      </c>
      <c r="B223" s="2" t="s">
        <v>19</v>
      </c>
      <c r="C223" s="2" t="s">
        <v>50</v>
      </c>
      <c r="D223" s="2" t="s">
        <v>53</v>
      </c>
      <c r="E223" s="2" t="s">
        <v>22</v>
      </c>
      <c r="F223" s="2">
        <v>1277955380444250</v>
      </c>
      <c r="G223" s="2">
        <v>1.2024229057228E+17</v>
      </c>
      <c r="H223" s="2">
        <v>1.2024270613878E+17</v>
      </c>
      <c r="I223" s="2">
        <v>1.2024270613881E+17</v>
      </c>
      <c r="J223" s="2" t="s">
        <v>23</v>
      </c>
      <c r="K223" s="4">
        <v>9859</v>
      </c>
      <c r="L223">
        <v>915</v>
      </c>
      <c r="M223">
        <v>234.83</v>
      </c>
      <c r="N223">
        <f t="shared" si="9"/>
        <v>8873</v>
      </c>
      <c r="O223">
        <f t="shared" si="10"/>
        <v>3993</v>
      </c>
      <c r="P223" s="5">
        <f t="shared" si="11"/>
        <v>6507</v>
      </c>
      <c r="S223">
        <v>516</v>
      </c>
    </row>
    <row r="224" spans="1:20" ht="15.75" thickBot="1" x14ac:dyDescent="0.3">
      <c r="A224" s="3">
        <v>46111</v>
      </c>
      <c r="B224" s="2" t="s">
        <v>19</v>
      </c>
      <c r="C224" s="2" t="s">
        <v>50</v>
      </c>
      <c r="D224" s="2" t="s">
        <v>53</v>
      </c>
      <c r="E224" s="2" t="s">
        <v>22</v>
      </c>
      <c r="F224" s="2">
        <v>1277955380444250</v>
      </c>
      <c r="G224" s="2">
        <v>1.2024229057228E+17</v>
      </c>
      <c r="H224" s="2">
        <v>1.2024270613878E+17</v>
      </c>
      <c r="I224" s="2">
        <v>1.2024270613881E+17</v>
      </c>
      <c r="J224" s="2" t="s">
        <v>24</v>
      </c>
      <c r="K224" s="4">
        <v>7540</v>
      </c>
      <c r="L224">
        <v>328</v>
      </c>
      <c r="M224">
        <v>1378.4</v>
      </c>
      <c r="N224">
        <f t="shared" si="9"/>
        <v>6786</v>
      </c>
      <c r="O224">
        <f t="shared" si="10"/>
        <v>3054</v>
      </c>
      <c r="P224" s="5">
        <f t="shared" si="11"/>
        <v>4976</v>
      </c>
      <c r="S224">
        <v>64894</v>
      </c>
      <c r="T224">
        <v>288</v>
      </c>
    </row>
    <row r="225" spans="1:20" ht="15.75" thickBot="1" x14ac:dyDescent="0.3">
      <c r="A225" s="3">
        <v>46111</v>
      </c>
      <c r="B225" s="2" t="s">
        <v>19</v>
      </c>
      <c r="C225" s="2" t="s">
        <v>50</v>
      </c>
      <c r="D225" s="2" t="s">
        <v>53</v>
      </c>
      <c r="E225" s="2" t="s">
        <v>22</v>
      </c>
      <c r="F225" s="2">
        <v>1277955380444250</v>
      </c>
      <c r="G225" s="2">
        <v>1.2024229057228E+17</v>
      </c>
      <c r="H225" s="2">
        <v>1.2024270613878E+17</v>
      </c>
      <c r="I225" s="2">
        <v>1.2024270613881E+17</v>
      </c>
      <c r="J225" s="2" t="s">
        <v>52</v>
      </c>
      <c r="K225" s="4">
        <v>8936</v>
      </c>
      <c r="L225">
        <v>978</v>
      </c>
      <c r="M225">
        <v>1237.04</v>
      </c>
      <c r="N225">
        <f t="shared" si="9"/>
        <v>8042</v>
      </c>
      <c r="O225">
        <f t="shared" si="10"/>
        <v>3619</v>
      </c>
      <c r="P225" s="5">
        <f t="shared" si="11"/>
        <v>5898</v>
      </c>
      <c r="S225">
        <v>2958</v>
      </c>
      <c r="T225">
        <v>82</v>
      </c>
    </row>
    <row r="226" spans="1:20" ht="15.75" thickBot="1" x14ac:dyDescent="0.3">
      <c r="A226" s="3">
        <v>46111</v>
      </c>
      <c r="B226" s="2" t="s">
        <v>19</v>
      </c>
      <c r="C226" s="2" t="s">
        <v>50</v>
      </c>
      <c r="D226" s="2" t="s">
        <v>54</v>
      </c>
      <c r="E226" s="2" t="s">
        <v>22</v>
      </c>
      <c r="F226" s="2">
        <v>1277955380444250</v>
      </c>
      <c r="G226" s="2">
        <v>1.2024229057228E+17</v>
      </c>
      <c r="H226" s="2">
        <v>1.2024270613878E+17</v>
      </c>
      <c r="I226" s="2">
        <v>1.2024270623134E+17</v>
      </c>
      <c r="J226" s="2" t="s">
        <v>23</v>
      </c>
      <c r="K226" s="4">
        <v>2285</v>
      </c>
      <c r="L226">
        <v>412</v>
      </c>
      <c r="M226">
        <v>482.87</v>
      </c>
      <c r="N226">
        <f t="shared" si="9"/>
        <v>2057</v>
      </c>
      <c r="O226">
        <f t="shared" si="10"/>
        <v>926</v>
      </c>
      <c r="P226" s="5">
        <f t="shared" si="11"/>
        <v>1508</v>
      </c>
      <c r="S226">
        <v>941</v>
      </c>
      <c r="T226">
        <v>3</v>
      </c>
    </row>
    <row r="227" spans="1:20" ht="15.75" thickBot="1" x14ac:dyDescent="0.3">
      <c r="A227" s="3">
        <v>46111</v>
      </c>
      <c r="B227" s="2" t="s">
        <v>19</v>
      </c>
      <c r="C227" s="2" t="s">
        <v>50</v>
      </c>
      <c r="D227" s="2" t="s">
        <v>54</v>
      </c>
      <c r="E227" s="2" t="s">
        <v>22</v>
      </c>
      <c r="F227" s="2">
        <v>1277955380444250</v>
      </c>
      <c r="G227" s="2">
        <v>1.2024229057228E+17</v>
      </c>
      <c r="H227" s="2">
        <v>1.2024270613878E+17</v>
      </c>
      <c r="I227" s="2">
        <v>1.2024270623134E+17</v>
      </c>
      <c r="J227" s="2" t="s">
        <v>24</v>
      </c>
      <c r="K227" s="4">
        <v>3689</v>
      </c>
      <c r="L227">
        <v>393</v>
      </c>
      <c r="M227">
        <v>1969.54</v>
      </c>
      <c r="N227">
        <f t="shared" si="9"/>
        <v>3320</v>
      </c>
      <c r="O227">
        <f t="shared" si="10"/>
        <v>1494</v>
      </c>
      <c r="P227" s="5">
        <f t="shared" si="11"/>
        <v>2435</v>
      </c>
      <c r="S227">
        <v>181516</v>
      </c>
      <c r="T227">
        <v>727</v>
      </c>
    </row>
    <row r="228" spans="1:20" ht="15.75" thickBot="1" x14ac:dyDescent="0.3">
      <c r="A228" s="3">
        <v>46111</v>
      </c>
      <c r="B228" s="2" t="s">
        <v>19</v>
      </c>
      <c r="C228" s="2" t="s">
        <v>50</v>
      </c>
      <c r="D228" s="2" t="s">
        <v>54</v>
      </c>
      <c r="E228" s="2" t="s">
        <v>22</v>
      </c>
      <c r="F228" s="2">
        <v>1277955380444250</v>
      </c>
      <c r="G228" s="2">
        <v>1.2024229057228E+17</v>
      </c>
      <c r="H228" s="2">
        <v>1.2024270613878E+17</v>
      </c>
      <c r="I228" s="2">
        <v>1.2024270623134E+17</v>
      </c>
      <c r="J228" s="2" t="s">
        <v>52</v>
      </c>
      <c r="K228" s="4">
        <v>7361</v>
      </c>
      <c r="L228">
        <v>175</v>
      </c>
      <c r="M228">
        <v>515.42999999999995</v>
      </c>
      <c r="N228">
        <f t="shared" si="9"/>
        <v>6625</v>
      </c>
      <c r="O228">
        <f t="shared" si="10"/>
        <v>2981</v>
      </c>
      <c r="P228" s="5">
        <f t="shared" si="11"/>
        <v>4858</v>
      </c>
      <c r="S228">
        <v>81</v>
      </c>
      <c r="T228">
        <v>1</v>
      </c>
    </row>
    <row r="229" spans="1:20" ht="15.75" thickBot="1" x14ac:dyDescent="0.3">
      <c r="A229" s="3">
        <v>46111</v>
      </c>
      <c r="B229" s="2" t="s">
        <v>25</v>
      </c>
      <c r="C229" s="2" t="s">
        <v>26</v>
      </c>
      <c r="D229" s="2" t="s">
        <v>35</v>
      </c>
      <c r="E229" s="2" t="s">
        <v>22</v>
      </c>
      <c r="F229" s="2">
        <v>1277955380444250</v>
      </c>
      <c r="G229" s="2">
        <v>1.2024231584645E+17</v>
      </c>
      <c r="H229" s="2">
        <v>1.2024231618176E+17</v>
      </c>
      <c r="I229" s="2">
        <v>1.2024235726836E+17</v>
      </c>
      <c r="J229" s="2" t="s">
        <v>23</v>
      </c>
      <c r="K229" s="4">
        <v>2919</v>
      </c>
      <c r="L229">
        <v>281</v>
      </c>
      <c r="M229">
        <v>1174.94</v>
      </c>
      <c r="N229">
        <f t="shared" si="9"/>
        <v>2627</v>
      </c>
      <c r="O229">
        <f t="shared" si="10"/>
        <v>1182</v>
      </c>
      <c r="P229" s="5">
        <f t="shared" si="11"/>
        <v>1927</v>
      </c>
      <c r="S229">
        <v>6881</v>
      </c>
      <c r="T229">
        <v>599</v>
      </c>
    </row>
    <row r="230" spans="1:20" ht="15.75" thickBot="1" x14ac:dyDescent="0.3">
      <c r="A230" s="3">
        <v>46111</v>
      </c>
      <c r="B230" s="2" t="s">
        <v>25</v>
      </c>
      <c r="C230" s="2" t="s">
        <v>26</v>
      </c>
      <c r="D230" s="2" t="s">
        <v>35</v>
      </c>
      <c r="E230" s="2" t="s">
        <v>22</v>
      </c>
      <c r="F230" s="2">
        <v>1277955380444250</v>
      </c>
      <c r="G230" s="2">
        <v>1.2024231584645E+17</v>
      </c>
      <c r="H230" s="2">
        <v>1.2024231618176E+17</v>
      </c>
      <c r="I230" s="2">
        <v>1.2024235726836E+17</v>
      </c>
      <c r="J230" s="2" t="s">
        <v>24</v>
      </c>
      <c r="K230" s="4">
        <v>2648</v>
      </c>
      <c r="L230">
        <v>621</v>
      </c>
      <c r="M230">
        <v>1629.32</v>
      </c>
      <c r="N230">
        <f t="shared" si="9"/>
        <v>2383</v>
      </c>
      <c r="O230">
        <f t="shared" si="10"/>
        <v>1072</v>
      </c>
      <c r="P230" s="5">
        <f t="shared" si="11"/>
        <v>1748</v>
      </c>
      <c r="S230">
        <v>7637</v>
      </c>
      <c r="T230">
        <v>747</v>
      </c>
    </row>
    <row r="231" spans="1:20" ht="15.75" thickBot="1" x14ac:dyDescent="0.3">
      <c r="A231" s="3">
        <v>46111</v>
      </c>
      <c r="B231" s="2" t="s">
        <v>25</v>
      </c>
      <c r="C231" s="2" t="s">
        <v>26</v>
      </c>
      <c r="D231" s="2" t="s">
        <v>35</v>
      </c>
      <c r="E231" s="2" t="s">
        <v>22</v>
      </c>
      <c r="F231" s="2">
        <v>1277955380444250</v>
      </c>
      <c r="G231" s="2">
        <v>1.2024231584645E+17</v>
      </c>
      <c r="H231" s="2">
        <v>1.2024231618176E+17</v>
      </c>
      <c r="I231" s="2">
        <v>1.2024235726836E+17</v>
      </c>
      <c r="J231" s="2" t="s">
        <v>55</v>
      </c>
      <c r="K231" s="4">
        <v>2631</v>
      </c>
      <c r="L231">
        <v>304</v>
      </c>
      <c r="M231">
        <v>1627.04</v>
      </c>
      <c r="N231">
        <f t="shared" si="9"/>
        <v>2368</v>
      </c>
      <c r="O231">
        <f t="shared" si="10"/>
        <v>1066</v>
      </c>
      <c r="P231" s="5">
        <f t="shared" si="11"/>
        <v>1736</v>
      </c>
    </row>
    <row r="232" spans="1:20" ht="15.75" thickBot="1" x14ac:dyDescent="0.3">
      <c r="A232" s="3">
        <v>46111</v>
      </c>
      <c r="B232" s="2" t="s">
        <v>25</v>
      </c>
      <c r="C232" s="2" t="s">
        <v>40</v>
      </c>
      <c r="D232" s="2" t="s">
        <v>41</v>
      </c>
      <c r="E232" s="2" t="s">
        <v>22</v>
      </c>
      <c r="F232" s="2">
        <v>1277955380444250</v>
      </c>
      <c r="G232" s="2">
        <v>1.2024231584645E+17</v>
      </c>
      <c r="H232" s="2">
        <v>1.2024246508913E+17</v>
      </c>
      <c r="I232" s="2">
        <v>1.2024246508915E+17</v>
      </c>
      <c r="J232" s="2" t="s">
        <v>23</v>
      </c>
      <c r="K232" s="4">
        <v>2206</v>
      </c>
      <c r="L232">
        <v>568</v>
      </c>
      <c r="M232">
        <v>813.25</v>
      </c>
      <c r="N232">
        <f t="shared" si="9"/>
        <v>1985</v>
      </c>
      <c r="O232">
        <f t="shared" si="10"/>
        <v>893</v>
      </c>
      <c r="P232" s="5">
        <f t="shared" si="11"/>
        <v>1456</v>
      </c>
    </row>
    <row r="233" spans="1:20" ht="15.75" thickBot="1" x14ac:dyDescent="0.3">
      <c r="A233" s="3">
        <v>46111</v>
      </c>
      <c r="B233" s="2" t="s">
        <v>25</v>
      </c>
      <c r="C233" s="2" t="s">
        <v>40</v>
      </c>
      <c r="D233" s="2" t="s">
        <v>41</v>
      </c>
      <c r="E233" s="2" t="s">
        <v>22</v>
      </c>
      <c r="F233" s="2">
        <v>1277955380444250</v>
      </c>
      <c r="G233" s="2">
        <v>1.2024231584645E+17</v>
      </c>
      <c r="H233" s="2">
        <v>1.2024246508913E+17</v>
      </c>
      <c r="I233" s="2">
        <v>1.2024246508915E+17</v>
      </c>
      <c r="J233" s="2" t="s">
        <v>24</v>
      </c>
      <c r="K233" s="4">
        <v>2258</v>
      </c>
      <c r="L233">
        <v>201</v>
      </c>
      <c r="M233">
        <v>107.05</v>
      </c>
      <c r="N233">
        <f t="shared" si="9"/>
        <v>2032</v>
      </c>
      <c r="O233">
        <f t="shared" si="10"/>
        <v>914</v>
      </c>
      <c r="P233" s="5">
        <f t="shared" si="11"/>
        <v>1490</v>
      </c>
    </row>
    <row r="234" spans="1:20" ht="15.75" thickBot="1" x14ac:dyDescent="0.3">
      <c r="A234" s="3">
        <v>46111</v>
      </c>
      <c r="B234" s="2" t="s">
        <v>25</v>
      </c>
      <c r="C234" s="2" t="s">
        <v>40</v>
      </c>
      <c r="D234" s="2" t="s">
        <v>42</v>
      </c>
      <c r="E234" s="2" t="s">
        <v>22</v>
      </c>
      <c r="F234" s="2">
        <v>1277955380444250</v>
      </c>
      <c r="G234" s="2">
        <v>1.2024231584645E+17</v>
      </c>
      <c r="H234" s="2">
        <v>1.2024246508913E+17</v>
      </c>
      <c r="I234" s="2">
        <v>1.2024246532294E+17</v>
      </c>
      <c r="J234" s="2" t="s">
        <v>23</v>
      </c>
      <c r="K234" s="4">
        <v>6917</v>
      </c>
      <c r="L234">
        <v>243</v>
      </c>
      <c r="M234">
        <v>1953.99</v>
      </c>
      <c r="N234">
        <f t="shared" si="9"/>
        <v>6225</v>
      </c>
      <c r="O234">
        <f t="shared" si="10"/>
        <v>2801</v>
      </c>
      <c r="P234" s="5">
        <f t="shared" si="11"/>
        <v>4565</v>
      </c>
    </row>
    <row r="235" spans="1:20" ht="15.75" thickBot="1" x14ac:dyDescent="0.3">
      <c r="A235" s="3">
        <v>46111</v>
      </c>
      <c r="B235" s="2" t="s">
        <v>25</v>
      </c>
      <c r="C235" s="2" t="s">
        <v>40</v>
      </c>
      <c r="D235" s="2" t="s">
        <v>42</v>
      </c>
      <c r="E235" s="2" t="s">
        <v>22</v>
      </c>
      <c r="F235" s="2">
        <v>1277955380444250</v>
      </c>
      <c r="G235" s="2">
        <v>1.2024231584645E+17</v>
      </c>
      <c r="H235" s="2">
        <v>1.2024246508913E+17</v>
      </c>
      <c r="I235" s="2">
        <v>1.2024246532294E+17</v>
      </c>
      <c r="J235" s="2" t="s">
        <v>24</v>
      </c>
      <c r="K235" s="4">
        <v>6485</v>
      </c>
      <c r="L235">
        <v>87</v>
      </c>
      <c r="M235">
        <v>1921.95</v>
      </c>
      <c r="N235">
        <f t="shared" si="9"/>
        <v>5837</v>
      </c>
      <c r="O235">
        <f t="shared" si="10"/>
        <v>2627</v>
      </c>
      <c r="P235" s="5">
        <f t="shared" si="11"/>
        <v>4280</v>
      </c>
    </row>
    <row r="236" spans="1:20" ht="15.75" thickBot="1" x14ac:dyDescent="0.3">
      <c r="A236" s="3">
        <v>46111</v>
      </c>
      <c r="B236" s="2" t="s">
        <v>25</v>
      </c>
      <c r="C236" s="2" t="s">
        <v>28</v>
      </c>
      <c r="D236" s="2" t="s">
        <v>37</v>
      </c>
      <c r="E236" s="2" t="s">
        <v>22</v>
      </c>
      <c r="F236" s="2">
        <v>1277955380444250</v>
      </c>
      <c r="G236" s="2">
        <v>1.2024231584645E+17</v>
      </c>
      <c r="H236" s="2">
        <v>1.2024231613167E+17</v>
      </c>
      <c r="I236" s="2">
        <v>1.2024235723042E+17</v>
      </c>
      <c r="J236" s="2" t="s">
        <v>23</v>
      </c>
      <c r="K236" s="4">
        <v>5758</v>
      </c>
      <c r="L236">
        <v>512</v>
      </c>
      <c r="M236">
        <v>1945.1</v>
      </c>
      <c r="N236">
        <f t="shared" si="9"/>
        <v>5182</v>
      </c>
      <c r="O236">
        <f t="shared" si="10"/>
        <v>2332</v>
      </c>
      <c r="P236" s="5">
        <f t="shared" si="11"/>
        <v>3800</v>
      </c>
      <c r="S236">
        <v>3905</v>
      </c>
      <c r="T236">
        <v>409</v>
      </c>
    </row>
    <row r="237" spans="1:20" ht="15.75" thickBot="1" x14ac:dyDescent="0.3">
      <c r="A237" s="3">
        <v>46111</v>
      </c>
      <c r="B237" s="2" t="s">
        <v>25</v>
      </c>
      <c r="C237" s="2" t="s">
        <v>28</v>
      </c>
      <c r="D237" s="2" t="s">
        <v>37</v>
      </c>
      <c r="E237" s="2" t="s">
        <v>22</v>
      </c>
      <c r="F237" s="2">
        <v>1277955380444250</v>
      </c>
      <c r="G237" s="2">
        <v>1.2024231584645E+17</v>
      </c>
      <c r="H237" s="2">
        <v>1.2024231613167E+17</v>
      </c>
      <c r="I237" s="2">
        <v>1.2024235723042E+17</v>
      </c>
      <c r="J237" s="2" t="s">
        <v>24</v>
      </c>
      <c r="K237" s="4">
        <v>6202</v>
      </c>
      <c r="L237">
        <v>615</v>
      </c>
      <c r="M237">
        <v>1954.69</v>
      </c>
      <c r="N237">
        <f t="shared" si="9"/>
        <v>5582</v>
      </c>
      <c r="O237">
        <f t="shared" si="10"/>
        <v>2512</v>
      </c>
      <c r="P237" s="5">
        <f t="shared" si="11"/>
        <v>4093</v>
      </c>
      <c r="S237">
        <v>5508</v>
      </c>
      <c r="T237">
        <v>296</v>
      </c>
    </row>
    <row r="238" spans="1:20" ht="15.75" thickBot="1" x14ac:dyDescent="0.3">
      <c r="A238" s="3">
        <v>46111</v>
      </c>
      <c r="B238" s="2" t="s">
        <v>25</v>
      </c>
      <c r="C238" s="2" t="s">
        <v>30</v>
      </c>
      <c r="D238" s="2" t="s">
        <v>38</v>
      </c>
      <c r="E238" s="2" t="s">
        <v>22</v>
      </c>
      <c r="F238" s="2">
        <v>1277955380444250</v>
      </c>
      <c r="G238" s="2">
        <v>1.2024231584645E+17</v>
      </c>
      <c r="H238" s="2">
        <v>1.2024231592817E+17</v>
      </c>
      <c r="I238" s="2">
        <v>1.202423571795E+17</v>
      </c>
      <c r="J238" s="2" t="s">
        <v>23</v>
      </c>
      <c r="K238" s="4">
        <v>7257</v>
      </c>
      <c r="L238">
        <v>722</v>
      </c>
      <c r="M238">
        <v>445.68</v>
      </c>
      <c r="N238">
        <f t="shared" si="9"/>
        <v>6531</v>
      </c>
      <c r="O238">
        <f t="shared" si="10"/>
        <v>2939</v>
      </c>
      <c r="P238" s="5">
        <f t="shared" si="11"/>
        <v>4790</v>
      </c>
      <c r="S238">
        <v>8194</v>
      </c>
      <c r="T238">
        <v>864</v>
      </c>
    </row>
    <row r="239" spans="1:20" ht="15.75" thickBot="1" x14ac:dyDescent="0.3">
      <c r="A239" s="3">
        <v>46111</v>
      </c>
      <c r="B239" s="2" t="s">
        <v>25</v>
      </c>
      <c r="C239" s="2" t="s">
        <v>30</v>
      </c>
      <c r="D239" s="2" t="s">
        <v>38</v>
      </c>
      <c r="E239" s="2" t="s">
        <v>22</v>
      </c>
      <c r="F239" s="2">
        <v>1277955380444250</v>
      </c>
      <c r="G239" s="2">
        <v>1.2024231584645E+17</v>
      </c>
      <c r="H239" s="2">
        <v>1.2024231592817E+17</v>
      </c>
      <c r="I239" s="2">
        <v>1.202423571795E+17</v>
      </c>
      <c r="J239" s="2" t="s">
        <v>24</v>
      </c>
      <c r="K239" s="4">
        <v>2979</v>
      </c>
      <c r="L239">
        <v>104</v>
      </c>
      <c r="M239">
        <v>1620.3</v>
      </c>
      <c r="N239">
        <f t="shared" si="9"/>
        <v>2681</v>
      </c>
      <c r="O239">
        <f t="shared" si="10"/>
        <v>1206</v>
      </c>
      <c r="P239" s="5">
        <f t="shared" si="11"/>
        <v>1966</v>
      </c>
      <c r="S239">
        <v>5815</v>
      </c>
      <c r="T239">
        <v>350</v>
      </c>
    </row>
    <row r="240" spans="1:20" ht="15.75" thickBot="1" x14ac:dyDescent="0.3">
      <c r="A240" s="3">
        <v>46111</v>
      </c>
      <c r="B240" s="2" t="s">
        <v>25</v>
      </c>
      <c r="C240" s="2" t="s">
        <v>32</v>
      </c>
      <c r="D240" s="2" t="s">
        <v>39</v>
      </c>
      <c r="E240" s="2" t="s">
        <v>22</v>
      </c>
      <c r="F240" s="2">
        <v>1277955380444250</v>
      </c>
      <c r="G240" s="2">
        <v>1.2024231584645E+17</v>
      </c>
      <c r="H240" s="2">
        <v>1.2024231584646E+17</v>
      </c>
      <c r="I240" s="2">
        <v>1.202423570912E+17</v>
      </c>
      <c r="J240" s="2" t="s">
        <v>23</v>
      </c>
      <c r="K240" s="4">
        <v>6938</v>
      </c>
      <c r="L240">
        <v>814</v>
      </c>
      <c r="M240">
        <v>896.72</v>
      </c>
      <c r="N240">
        <f t="shared" si="9"/>
        <v>6244</v>
      </c>
      <c r="O240">
        <f t="shared" si="10"/>
        <v>2810</v>
      </c>
      <c r="P240" s="5">
        <f t="shared" si="11"/>
        <v>4579</v>
      </c>
    </row>
    <row r="241" spans="1:20" ht="15.75" thickBot="1" x14ac:dyDescent="0.3">
      <c r="A241" s="3">
        <v>46111</v>
      </c>
      <c r="B241" s="2" t="s">
        <v>25</v>
      </c>
      <c r="C241" s="2" t="s">
        <v>32</v>
      </c>
      <c r="D241" s="2" t="s">
        <v>39</v>
      </c>
      <c r="E241" s="2" t="s">
        <v>22</v>
      </c>
      <c r="F241" s="2">
        <v>1277955380444250</v>
      </c>
      <c r="G241" s="2">
        <v>1.2024231584645E+17</v>
      </c>
      <c r="H241" s="2">
        <v>1.2024231584646E+17</v>
      </c>
      <c r="I241" s="2">
        <v>1.202423570912E+17</v>
      </c>
      <c r="J241" s="2" t="s">
        <v>24</v>
      </c>
      <c r="K241" s="4">
        <v>5845</v>
      </c>
      <c r="L241">
        <v>585</v>
      </c>
      <c r="M241">
        <v>1032.2</v>
      </c>
      <c r="N241">
        <f t="shared" si="9"/>
        <v>5261</v>
      </c>
      <c r="O241">
        <f t="shared" si="10"/>
        <v>2367</v>
      </c>
      <c r="P241" s="5">
        <f t="shared" si="11"/>
        <v>3858</v>
      </c>
    </row>
    <row r="242" spans="1:20" ht="15.75" thickBot="1" x14ac:dyDescent="0.3">
      <c r="A242" s="3">
        <v>46111</v>
      </c>
      <c r="B242" s="2" t="s">
        <v>56</v>
      </c>
      <c r="C242" s="2" t="s">
        <v>57</v>
      </c>
      <c r="D242" s="2" t="s">
        <v>58</v>
      </c>
      <c r="E242" s="2" t="s">
        <v>22</v>
      </c>
      <c r="F242" s="2">
        <v>1277955380444250</v>
      </c>
      <c r="G242" s="2">
        <v>1.2024270854698E+17</v>
      </c>
      <c r="H242" s="2">
        <v>1.2024270854697E+17</v>
      </c>
      <c r="I242" s="2">
        <v>1.2024270854699E+17</v>
      </c>
      <c r="J242" s="2" t="s">
        <v>24</v>
      </c>
      <c r="K242" s="4">
        <v>2966</v>
      </c>
      <c r="L242">
        <v>836</v>
      </c>
      <c r="M242">
        <v>1275.0899999999999</v>
      </c>
      <c r="N242">
        <f t="shared" si="9"/>
        <v>2669</v>
      </c>
      <c r="O242">
        <f t="shared" si="10"/>
        <v>1201</v>
      </c>
      <c r="P242" s="5">
        <f t="shared" si="11"/>
        <v>1958</v>
      </c>
    </row>
    <row r="243" spans="1:20" ht="15.75" thickBot="1" x14ac:dyDescent="0.3">
      <c r="A243" s="3">
        <v>46111</v>
      </c>
      <c r="B243" s="2" t="s">
        <v>56</v>
      </c>
      <c r="C243" s="2" t="s">
        <v>57</v>
      </c>
      <c r="D243" s="2" t="s">
        <v>58</v>
      </c>
      <c r="E243" s="2" t="s">
        <v>22</v>
      </c>
      <c r="F243" s="2">
        <v>1277955380444250</v>
      </c>
      <c r="G243" s="2">
        <v>1.2024270854698E+17</v>
      </c>
      <c r="H243" s="2">
        <v>1.2024270854697E+17</v>
      </c>
      <c r="I243" s="2">
        <v>1.2024270854699E+17</v>
      </c>
      <c r="J243" s="2" t="s">
        <v>46</v>
      </c>
      <c r="K243" s="4">
        <v>8846</v>
      </c>
      <c r="L243">
        <v>195</v>
      </c>
      <c r="M243">
        <v>1790.83</v>
      </c>
      <c r="N243">
        <f t="shared" si="9"/>
        <v>7961</v>
      </c>
      <c r="O243">
        <f t="shared" si="10"/>
        <v>3582</v>
      </c>
      <c r="P243" s="5">
        <f t="shared" si="11"/>
        <v>5838</v>
      </c>
    </row>
    <row r="244" spans="1:20" ht="15.75" thickBot="1" x14ac:dyDescent="0.3">
      <c r="A244" s="3">
        <v>46112</v>
      </c>
      <c r="B244" s="2" t="s">
        <v>47</v>
      </c>
      <c r="C244" s="2" t="s">
        <v>48</v>
      </c>
      <c r="D244" s="2" t="s">
        <v>59</v>
      </c>
      <c r="E244" s="2" t="s">
        <v>22</v>
      </c>
      <c r="F244" s="2">
        <v>1277955380444250</v>
      </c>
      <c r="G244" s="2">
        <v>1.2024261720294E+17</v>
      </c>
      <c r="H244" s="2">
        <v>1.2024261720296E+17</v>
      </c>
      <c r="I244" s="2">
        <v>1.2024292230769E+17</v>
      </c>
      <c r="J244" s="2" t="s">
        <v>23</v>
      </c>
      <c r="K244" s="4">
        <v>1380</v>
      </c>
      <c r="L244">
        <v>298</v>
      </c>
      <c r="M244">
        <v>299.97000000000003</v>
      </c>
      <c r="N244">
        <f t="shared" si="9"/>
        <v>1242</v>
      </c>
      <c r="O244">
        <f t="shared" si="10"/>
        <v>559</v>
      </c>
      <c r="P244" s="5">
        <f t="shared" si="11"/>
        <v>911</v>
      </c>
      <c r="S244">
        <v>6</v>
      </c>
      <c r="T244">
        <v>1</v>
      </c>
    </row>
    <row r="245" spans="1:20" ht="15.75" thickBot="1" x14ac:dyDescent="0.3">
      <c r="A245" s="3">
        <v>46112</v>
      </c>
      <c r="B245" s="2" t="s">
        <v>47</v>
      </c>
      <c r="C245" s="2" t="s">
        <v>48</v>
      </c>
      <c r="D245" s="2" t="s">
        <v>59</v>
      </c>
      <c r="E245" s="2" t="s">
        <v>22</v>
      </c>
      <c r="F245" s="2">
        <v>1277955380444250</v>
      </c>
      <c r="G245" s="2">
        <v>1.2024261720294E+17</v>
      </c>
      <c r="H245" s="2">
        <v>1.2024261720296E+17</v>
      </c>
      <c r="I245" s="2">
        <v>1.2024292230769E+17</v>
      </c>
      <c r="J245" s="2" t="s">
        <v>24</v>
      </c>
      <c r="K245" s="4">
        <v>3349</v>
      </c>
      <c r="L245">
        <v>402</v>
      </c>
      <c r="M245">
        <v>1348.14</v>
      </c>
      <c r="N245">
        <f t="shared" si="9"/>
        <v>3014</v>
      </c>
      <c r="O245">
        <f t="shared" si="10"/>
        <v>1356</v>
      </c>
      <c r="P245" s="5">
        <f t="shared" si="11"/>
        <v>2210</v>
      </c>
      <c r="R245">
        <v>65</v>
      </c>
      <c r="S245">
        <v>131</v>
      </c>
      <c r="T245">
        <v>19</v>
      </c>
    </row>
    <row r="246" spans="1:20" ht="15.75" thickBot="1" x14ac:dyDescent="0.3">
      <c r="A246" s="3">
        <v>46112</v>
      </c>
      <c r="B246" s="2" t="s">
        <v>47</v>
      </c>
      <c r="C246" s="2" t="s">
        <v>48</v>
      </c>
      <c r="D246" s="2" t="s">
        <v>49</v>
      </c>
      <c r="E246" s="2" t="s">
        <v>22</v>
      </c>
      <c r="F246" s="2">
        <v>1277955380444250</v>
      </c>
      <c r="G246" s="2">
        <v>1.2024261720294E+17</v>
      </c>
      <c r="H246" s="2">
        <v>1.2024261720296E+17</v>
      </c>
      <c r="I246" s="2">
        <v>1.2024261720295E+17</v>
      </c>
      <c r="J246" s="2" t="s">
        <v>23</v>
      </c>
      <c r="K246" s="4">
        <v>6352</v>
      </c>
      <c r="L246">
        <v>340</v>
      </c>
      <c r="M246">
        <v>471.23</v>
      </c>
      <c r="N246">
        <f t="shared" si="9"/>
        <v>5717</v>
      </c>
      <c r="O246">
        <f t="shared" si="10"/>
        <v>2573</v>
      </c>
      <c r="P246" s="5">
        <f t="shared" si="11"/>
        <v>4192</v>
      </c>
      <c r="R246">
        <v>104761</v>
      </c>
      <c r="S246">
        <v>356035</v>
      </c>
      <c r="T246">
        <v>46822</v>
      </c>
    </row>
    <row r="247" spans="1:20" ht="15.75" thickBot="1" x14ac:dyDescent="0.3">
      <c r="A247" s="3">
        <v>46112</v>
      </c>
      <c r="B247" s="2" t="s">
        <v>47</v>
      </c>
      <c r="C247" s="2" t="s">
        <v>48</v>
      </c>
      <c r="D247" s="2" t="s">
        <v>49</v>
      </c>
      <c r="E247" s="2" t="s">
        <v>22</v>
      </c>
      <c r="F247" s="2">
        <v>1277955380444250</v>
      </c>
      <c r="G247" s="2">
        <v>1.2024261720294E+17</v>
      </c>
      <c r="H247" s="2">
        <v>1.2024261720296E+17</v>
      </c>
      <c r="I247" s="2">
        <v>1.2024261720295E+17</v>
      </c>
      <c r="J247" s="2" t="s">
        <v>24</v>
      </c>
      <c r="K247" s="4">
        <v>4700</v>
      </c>
      <c r="L247">
        <v>864</v>
      </c>
      <c r="M247">
        <v>1680.58</v>
      </c>
      <c r="N247">
        <f t="shared" si="9"/>
        <v>4230</v>
      </c>
      <c r="O247">
        <f t="shared" si="10"/>
        <v>1904</v>
      </c>
      <c r="P247" s="5">
        <f t="shared" si="11"/>
        <v>3102</v>
      </c>
      <c r="R247">
        <v>437149</v>
      </c>
      <c r="S247">
        <v>845973</v>
      </c>
      <c r="T247">
        <v>237846</v>
      </c>
    </row>
    <row r="248" spans="1:20" ht="15.75" thickBot="1" x14ac:dyDescent="0.3">
      <c r="A248" s="3">
        <v>46112</v>
      </c>
      <c r="B248" s="2" t="s">
        <v>47</v>
      </c>
      <c r="C248" s="2" t="s">
        <v>48</v>
      </c>
      <c r="D248" s="2" t="s">
        <v>60</v>
      </c>
      <c r="E248" s="2" t="s">
        <v>22</v>
      </c>
      <c r="F248" s="2">
        <v>1277955380444250</v>
      </c>
      <c r="G248" s="2">
        <v>1.2024261720294E+17</v>
      </c>
      <c r="H248" s="2">
        <v>1.2024261720296E+17</v>
      </c>
      <c r="I248" s="2">
        <v>1.2024292195261E+17</v>
      </c>
      <c r="J248" s="2" t="s">
        <v>23</v>
      </c>
      <c r="K248" s="4">
        <v>7505</v>
      </c>
      <c r="L248">
        <v>239</v>
      </c>
      <c r="M248">
        <v>605.66999999999996</v>
      </c>
      <c r="N248">
        <f t="shared" si="9"/>
        <v>6755</v>
      </c>
      <c r="O248">
        <f t="shared" si="10"/>
        <v>3040</v>
      </c>
      <c r="P248" s="5">
        <f t="shared" si="11"/>
        <v>4953</v>
      </c>
      <c r="R248">
        <v>46952</v>
      </c>
      <c r="S248">
        <v>194854</v>
      </c>
      <c r="T248">
        <v>22654</v>
      </c>
    </row>
    <row r="249" spans="1:20" ht="15.75" thickBot="1" x14ac:dyDescent="0.3">
      <c r="A249" s="3">
        <v>46112</v>
      </c>
      <c r="B249" s="2" t="s">
        <v>47</v>
      </c>
      <c r="C249" s="2" t="s">
        <v>48</v>
      </c>
      <c r="D249" s="2" t="s">
        <v>60</v>
      </c>
      <c r="E249" s="2" t="s">
        <v>22</v>
      </c>
      <c r="F249" s="2">
        <v>1277955380444250</v>
      </c>
      <c r="G249" s="2">
        <v>1.2024261720294E+17</v>
      </c>
      <c r="H249" s="2">
        <v>1.2024261720296E+17</v>
      </c>
      <c r="I249" s="2">
        <v>1.2024292195261E+17</v>
      </c>
      <c r="J249" s="2" t="s">
        <v>24</v>
      </c>
      <c r="K249" s="4">
        <v>7906</v>
      </c>
      <c r="L249">
        <v>409</v>
      </c>
      <c r="M249">
        <v>1859.54</v>
      </c>
      <c r="N249">
        <f t="shared" si="9"/>
        <v>7115</v>
      </c>
      <c r="O249">
        <f t="shared" si="10"/>
        <v>3202</v>
      </c>
      <c r="P249" s="5">
        <f t="shared" si="11"/>
        <v>5218</v>
      </c>
      <c r="R249">
        <v>408476</v>
      </c>
      <c r="S249">
        <v>1608183</v>
      </c>
      <c r="T249">
        <v>276549</v>
      </c>
    </row>
    <row r="250" spans="1:20" ht="15.75" thickBot="1" x14ac:dyDescent="0.3">
      <c r="A250" s="3">
        <v>46112</v>
      </c>
      <c r="B250" s="2" t="s">
        <v>19</v>
      </c>
      <c r="C250" s="2" t="s">
        <v>20</v>
      </c>
      <c r="D250" s="2" t="s">
        <v>21</v>
      </c>
      <c r="E250" s="2" t="s">
        <v>22</v>
      </c>
      <c r="F250" s="2">
        <v>1277955380444250</v>
      </c>
      <c r="G250" s="2">
        <v>1.2024229057228E+17</v>
      </c>
      <c r="H250" s="2">
        <v>1.2024229057229E+17</v>
      </c>
      <c r="I250" s="2">
        <v>1.2024229057227E+17</v>
      </c>
      <c r="J250" s="2" t="s">
        <v>23</v>
      </c>
      <c r="K250" s="4">
        <v>9252</v>
      </c>
      <c r="L250">
        <v>253</v>
      </c>
      <c r="M250">
        <v>649.54</v>
      </c>
      <c r="N250">
        <f t="shared" si="9"/>
        <v>8327</v>
      </c>
      <c r="O250">
        <f t="shared" si="10"/>
        <v>3747</v>
      </c>
      <c r="P250" s="5">
        <f t="shared" si="11"/>
        <v>6106</v>
      </c>
      <c r="S250">
        <v>813</v>
      </c>
      <c r="T250">
        <v>9</v>
      </c>
    </row>
    <row r="251" spans="1:20" ht="15.75" thickBot="1" x14ac:dyDescent="0.3">
      <c r="A251" s="3">
        <v>46112</v>
      </c>
      <c r="B251" s="2" t="s">
        <v>19</v>
      </c>
      <c r="C251" s="2" t="s">
        <v>20</v>
      </c>
      <c r="D251" s="2" t="s">
        <v>21</v>
      </c>
      <c r="E251" s="2" t="s">
        <v>22</v>
      </c>
      <c r="F251" s="2">
        <v>1277955380444250</v>
      </c>
      <c r="G251" s="2">
        <v>1.2024229057228E+17</v>
      </c>
      <c r="H251" s="2">
        <v>1.2024229057229E+17</v>
      </c>
      <c r="I251" s="2">
        <v>1.2024229057227E+17</v>
      </c>
      <c r="J251" s="2" t="s">
        <v>24</v>
      </c>
      <c r="K251" s="4">
        <v>4087</v>
      </c>
      <c r="L251">
        <v>647</v>
      </c>
      <c r="M251">
        <v>619.49</v>
      </c>
      <c r="N251">
        <f t="shared" si="9"/>
        <v>3678</v>
      </c>
      <c r="O251">
        <f t="shared" si="10"/>
        <v>1655</v>
      </c>
      <c r="P251" s="5">
        <f t="shared" si="11"/>
        <v>2697</v>
      </c>
      <c r="S251">
        <v>64744</v>
      </c>
      <c r="T251">
        <v>222</v>
      </c>
    </row>
    <row r="252" spans="1:20" ht="15.75" thickBot="1" x14ac:dyDescent="0.3">
      <c r="A252" s="3">
        <v>46112</v>
      </c>
      <c r="B252" s="2" t="s">
        <v>19</v>
      </c>
      <c r="C252" s="2" t="s">
        <v>20</v>
      </c>
      <c r="D252" s="2" t="s">
        <v>34</v>
      </c>
      <c r="E252" s="2" t="s">
        <v>22</v>
      </c>
      <c r="F252" s="2">
        <v>1277955380444250</v>
      </c>
      <c r="G252" s="2">
        <v>1.2024229057228E+17</v>
      </c>
      <c r="H252" s="2">
        <v>1.2024229057229E+17</v>
      </c>
      <c r="I252" s="2">
        <v>1.2024229334046E+17</v>
      </c>
      <c r="J252" s="2" t="s">
        <v>23</v>
      </c>
      <c r="K252" s="4">
        <v>6158</v>
      </c>
      <c r="L252">
        <v>509</v>
      </c>
      <c r="M252">
        <v>1561.63</v>
      </c>
      <c r="N252">
        <f t="shared" si="9"/>
        <v>5542</v>
      </c>
      <c r="O252">
        <f t="shared" si="10"/>
        <v>2494</v>
      </c>
      <c r="P252" s="5">
        <f t="shared" si="11"/>
        <v>4064</v>
      </c>
      <c r="S252">
        <v>226</v>
      </c>
    </row>
    <row r="253" spans="1:20" ht="15.75" thickBot="1" x14ac:dyDescent="0.3">
      <c r="A253" s="3">
        <v>46112</v>
      </c>
      <c r="B253" s="2" t="s">
        <v>19</v>
      </c>
      <c r="C253" s="2" t="s">
        <v>20</v>
      </c>
      <c r="D253" s="2" t="s">
        <v>34</v>
      </c>
      <c r="E253" s="2" t="s">
        <v>22</v>
      </c>
      <c r="F253" s="2">
        <v>1277955380444250</v>
      </c>
      <c r="G253" s="2">
        <v>1.2024229057228E+17</v>
      </c>
      <c r="H253" s="2">
        <v>1.2024229057229E+17</v>
      </c>
      <c r="I253" s="2">
        <v>1.2024229334046E+17</v>
      </c>
      <c r="J253" s="2" t="s">
        <v>24</v>
      </c>
      <c r="K253" s="4">
        <v>3860</v>
      </c>
      <c r="L253">
        <v>803</v>
      </c>
      <c r="M253">
        <v>682.51</v>
      </c>
      <c r="N253">
        <f t="shared" si="9"/>
        <v>3474</v>
      </c>
      <c r="O253">
        <f t="shared" si="10"/>
        <v>1563</v>
      </c>
      <c r="P253" s="5">
        <f t="shared" si="11"/>
        <v>2548</v>
      </c>
      <c r="S253">
        <v>102743</v>
      </c>
      <c r="T253">
        <v>409</v>
      </c>
    </row>
    <row r="254" spans="1:20" ht="15.75" thickBot="1" x14ac:dyDescent="0.3">
      <c r="A254" s="3">
        <v>46112</v>
      </c>
      <c r="B254" s="2" t="s">
        <v>19</v>
      </c>
      <c r="C254" s="2" t="s">
        <v>50</v>
      </c>
      <c r="D254" s="2" t="s">
        <v>51</v>
      </c>
      <c r="E254" s="2" t="s">
        <v>22</v>
      </c>
      <c r="F254" s="2">
        <v>1277955380444250</v>
      </c>
      <c r="G254" s="2">
        <v>1.2024229057228E+17</v>
      </c>
      <c r="H254" s="2">
        <v>1.2024270613878E+17</v>
      </c>
      <c r="I254" s="2">
        <v>1.202427061388E+17</v>
      </c>
      <c r="J254" s="2" t="s">
        <v>23</v>
      </c>
      <c r="K254" s="4">
        <v>9851</v>
      </c>
      <c r="L254">
        <v>764</v>
      </c>
      <c r="M254">
        <v>601.12</v>
      </c>
      <c r="N254">
        <f t="shared" si="9"/>
        <v>8866</v>
      </c>
      <c r="O254">
        <f t="shared" si="10"/>
        <v>3990</v>
      </c>
      <c r="P254" s="5">
        <f t="shared" si="11"/>
        <v>6502</v>
      </c>
      <c r="S254">
        <v>49952</v>
      </c>
      <c r="T254">
        <v>1485</v>
      </c>
    </row>
    <row r="255" spans="1:20" ht="15.75" thickBot="1" x14ac:dyDescent="0.3">
      <c r="A255" s="3">
        <v>46112</v>
      </c>
      <c r="B255" s="2" t="s">
        <v>19</v>
      </c>
      <c r="C255" s="2" t="s">
        <v>50</v>
      </c>
      <c r="D255" s="2" t="s">
        <v>51</v>
      </c>
      <c r="E255" s="2" t="s">
        <v>22</v>
      </c>
      <c r="F255" s="2">
        <v>1277955380444250</v>
      </c>
      <c r="G255" s="2">
        <v>1.2024229057228E+17</v>
      </c>
      <c r="H255" s="2">
        <v>1.2024270613878E+17</v>
      </c>
      <c r="I255" s="2">
        <v>1.202427061388E+17</v>
      </c>
      <c r="J255" s="2" t="s">
        <v>24</v>
      </c>
      <c r="K255" s="4">
        <v>8881</v>
      </c>
      <c r="L255">
        <v>306</v>
      </c>
      <c r="M255">
        <v>1089.68</v>
      </c>
      <c r="N255">
        <f t="shared" si="9"/>
        <v>7993</v>
      </c>
      <c r="O255">
        <f t="shared" si="10"/>
        <v>3597</v>
      </c>
      <c r="P255" s="5">
        <f t="shared" si="11"/>
        <v>5861</v>
      </c>
      <c r="S255">
        <v>672959</v>
      </c>
      <c r="T255">
        <v>3939</v>
      </c>
    </row>
    <row r="256" spans="1:20" ht="15.75" thickBot="1" x14ac:dyDescent="0.3">
      <c r="A256" s="3">
        <v>46112</v>
      </c>
      <c r="B256" s="2" t="s">
        <v>19</v>
      </c>
      <c r="C256" s="2" t="s">
        <v>50</v>
      </c>
      <c r="D256" s="2" t="s">
        <v>51</v>
      </c>
      <c r="E256" s="2" t="s">
        <v>22</v>
      </c>
      <c r="F256" s="2">
        <v>1277955380444250</v>
      </c>
      <c r="G256" s="2">
        <v>1.2024229057228E+17</v>
      </c>
      <c r="H256" s="2">
        <v>1.2024270613878E+17</v>
      </c>
      <c r="I256" s="2">
        <v>1.202427061388E+17</v>
      </c>
      <c r="J256" s="2" t="s">
        <v>52</v>
      </c>
      <c r="K256" s="4">
        <v>7976</v>
      </c>
      <c r="L256">
        <v>396</v>
      </c>
      <c r="M256">
        <v>1653.26</v>
      </c>
      <c r="N256">
        <f t="shared" si="9"/>
        <v>7178</v>
      </c>
      <c r="O256">
        <f t="shared" si="10"/>
        <v>3230</v>
      </c>
      <c r="P256" s="5">
        <f t="shared" si="11"/>
        <v>5264</v>
      </c>
      <c r="S256">
        <v>14</v>
      </c>
    </row>
    <row r="257" spans="1:20" ht="15.75" thickBot="1" x14ac:dyDescent="0.3">
      <c r="A257" s="3">
        <v>46112</v>
      </c>
      <c r="B257" s="2" t="s">
        <v>19</v>
      </c>
      <c r="C257" s="2" t="s">
        <v>50</v>
      </c>
      <c r="D257" s="2" t="s">
        <v>53</v>
      </c>
      <c r="E257" s="2" t="s">
        <v>22</v>
      </c>
      <c r="F257" s="2">
        <v>1277955380444250</v>
      </c>
      <c r="G257" s="2">
        <v>1.2024229057228E+17</v>
      </c>
      <c r="H257" s="2">
        <v>1.2024270613878E+17</v>
      </c>
      <c r="I257" s="2">
        <v>1.2024270613881E+17</v>
      </c>
      <c r="J257" s="2" t="s">
        <v>23</v>
      </c>
      <c r="K257" s="4">
        <v>9835</v>
      </c>
      <c r="L257">
        <v>132</v>
      </c>
      <c r="M257">
        <v>867.47</v>
      </c>
      <c r="N257">
        <f t="shared" si="9"/>
        <v>8852</v>
      </c>
      <c r="O257">
        <f t="shared" si="10"/>
        <v>3983</v>
      </c>
      <c r="P257" s="5">
        <f t="shared" si="11"/>
        <v>6491</v>
      </c>
      <c r="S257">
        <v>1611</v>
      </c>
      <c r="T257">
        <v>12</v>
      </c>
    </row>
    <row r="258" spans="1:20" ht="15.75" thickBot="1" x14ac:dyDescent="0.3">
      <c r="A258" s="3">
        <v>46112</v>
      </c>
      <c r="B258" s="2" t="s">
        <v>19</v>
      </c>
      <c r="C258" s="2" t="s">
        <v>50</v>
      </c>
      <c r="D258" s="2" t="s">
        <v>53</v>
      </c>
      <c r="E258" s="2" t="s">
        <v>22</v>
      </c>
      <c r="F258" s="2">
        <v>1277955380444250</v>
      </c>
      <c r="G258" s="2">
        <v>1.2024229057228E+17</v>
      </c>
      <c r="H258" s="2">
        <v>1.2024270613878E+17</v>
      </c>
      <c r="I258" s="2">
        <v>1.2024270613881E+17</v>
      </c>
      <c r="J258" s="2" t="s">
        <v>24</v>
      </c>
      <c r="K258" s="4">
        <v>1388</v>
      </c>
      <c r="L258">
        <v>912</v>
      </c>
      <c r="M258">
        <v>1578.2</v>
      </c>
      <c r="N258">
        <f t="shared" si="9"/>
        <v>1249</v>
      </c>
      <c r="O258">
        <f t="shared" si="10"/>
        <v>562</v>
      </c>
      <c r="P258" s="5">
        <f t="shared" si="11"/>
        <v>916</v>
      </c>
      <c r="S258">
        <v>67538</v>
      </c>
      <c r="T258">
        <v>300</v>
      </c>
    </row>
    <row r="259" spans="1:20" ht="15.75" thickBot="1" x14ac:dyDescent="0.3">
      <c r="A259" s="3">
        <v>46112</v>
      </c>
      <c r="B259" s="2" t="s">
        <v>19</v>
      </c>
      <c r="C259" s="2" t="s">
        <v>50</v>
      </c>
      <c r="D259" s="2" t="s">
        <v>53</v>
      </c>
      <c r="E259" s="2" t="s">
        <v>22</v>
      </c>
      <c r="F259" s="2">
        <v>1277955380444250</v>
      </c>
      <c r="G259" s="2">
        <v>1.2024229057228E+17</v>
      </c>
      <c r="H259" s="2">
        <v>1.2024270613878E+17</v>
      </c>
      <c r="I259" s="2">
        <v>1.2024270613881E+17</v>
      </c>
      <c r="J259" s="2" t="s">
        <v>36</v>
      </c>
      <c r="K259" s="4">
        <v>3057</v>
      </c>
      <c r="L259">
        <v>550</v>
      </c>
      <c r="M259">
        <v>325.36</v>
      </c>
      <c r="N259">
        <f t="shared" ref="N259:N322" si="12">ROUND(K259*0.9,0)</f>
        <v>2751</v>
      </c>
      <c r="O259">
        <f t="shared" ref="O259:O322" si="13">ROUND(N259*0.45,0)</f>
        <v>1238</v>
      </c>
      <c r="P259" s="5">
        <f t="shared" ref="P259:P322" si="14">ROUND(K259*0.66,0)</f>
        <v>2018</v>
      </c>
      <c r="S259">
        <v>1</v>
      </c>
    </row>
    <row r="260" spans="1:20" ht="15.75" thickBot="1" x14ac:dyDescent="0.3">
      <c r="A260" s="3">
        <v>46112</v>
      </c>
      <c r="B260" s="2" t="s">
        <v>19</v>
      </c>
      <c r="C260" s="2" t="s">
        <v>50</v>
      </c>
      <c r="D260" s="2" t="s">
        <v>53</v>
      </c>
      <c r="E260" s="2" t="s">
        <v>22</v>
      </c>
      <c r="F260" s="2">
        <v>1277955380444250</v>
      </c>
      <c r="G260" s="2">
        <v>1.2024229057228E+17</v>
      </c>
      <c r="H260" s="2">
        <v>1.2024270613878E+17</v>
      </c>
      <c r="I260" s="2">
        <v>1.2024270613881E+17</v>
      </c>
      <c r="J260" s="2" t="s">
        <v>52</v>
      </c>
      <c r="K260" s="4">
        <v>5786</v>
      </c>
      <c r="L260">
        <v>374</v>
      </c>
      <c r="M260">
        <v>1645.36</v>
      </c>
      <c r="N260">
        <f t="shared" si="12"/>
        <v>5207</v>
      </c>
      <c r="O260">
        <f t="shared" si="13"/>
        <v>2343</v>
      </c>
      <c r="P260" s="5">
        <f t="shared" si="14"/>
        <v>3819</v>
      </c>
      <c r="S260">
        <v>1556</v>
      </c>
      <c r="T260">
        <v>55</v>
      </c>
    </row>
    <row r="261" spans="1:20" ht="15.75" thickBot="1" x14ac:dyDescent="0.3">
      <c r="A261" s="3">
        <v>46112</v>
      </c>
      <c r="B261" s="2" t="s">
        <v>19</v>
      </c>
      <c r="C261" s="2" t="s">
        <v>50</v>
      </c>
      <c r="D261" s="2" t="s">
        <v>54</v>
      </c>
      <c r="E261" s="2" t="s">
        <v>22</v>
      </c>
      <c r="F261" s="2">
        <v>1277955380444250</v>
      </c>
      <c r="G261" s="2">
        <v>1.2024229057228E+17</v>
      </c>
      <c r="H261" s="2">
        <v>1.2024270613878E+17</v>
      </c>
      <c r="I261" s="2">
        <v>1.2024270623134E+17</v>
      </c>
      <c r="J261" s="2" t="s">
        <v>23</v>
      </c>
      <c r="K261" s="4">
        <v>2851</v>
      </c>
      <c r="L261">
        <v>165</v>
      </c>
      <c r="M261">
        <v>1795.1</v>
      </c>
      <c r="N261">
        <f t="shared" si="12"/>
        <v>2566</v>
      </c>
      <c r="O261">
        <f t="shared" si="13"/>
        <v>1155</v>
      </c>
      <c r="P261" s="5">
        <f t="shared" si="14"/>
        <v>1882</v>
      </c>
      <c r="S261">
        <v>1663</v>
      </c>
      <c r="T261">
        <v>6</v>
      </c>
    </row>
    <row r="262" spans="1:20" ht="15.75" thickBot="1" x14ac:dyDescent="0.3">
      <c r="A262" s="3">
        <v>46112</v>
      </c>
      <c r="B262" s="2" t="s">
        <v>19</v>
      </c>
      <c r="C262" s="2" t="s">
        <v>50</v>
      </c>
      <c r="D262" s="2" t="s">
        <v>54</v>
      </c>
      <c r="E262" s="2" t="s">
        <v>22</v>
      </c>
      <c r="F262" s="2">
        <v>1277955380444250</v>
      </c>
      <c r="G262" s="2">
        <v>1.2024229057228E+17</v>
      </c>
      <c r="H262" s="2">
        <v>1.2024270613878E+17</v>
      </c>
      <c r="I262" s="2">
        <v>1.2024270623134E+17</v>
      </c>
      <c r="J262" s="2" t="s">
        <v>24</v>
      </c>
      <c r="K262" s="4">
        <v>2888</v>
      </c>
      <c r="L262">
        <v>971</v>
      </c>
      <c r="M262">
        <v>255.32</v>
      </c>
      <c r="N262">
        <f t="shared" si="12"/>
        <v>2599</v>
      </c>
      <c r="O262">
        <f t="shared" si="13"/>
        <v>1170</v>
      </c>
      <c r="P262" s="5">
        <f t="shared" si="14"/>
        <v>1906</v>
      </c>
      <c r="S262">
        <v>103551</v>
      </c>
      <c r="T262">
        <v>443</v>
      </c>
    </row>
    <row r="263" spans="1:20" ht="15.75" thickBot="1" x14ac:dyDescent="0.3">
      <c r="A263" s="3">
        <v>46112</v>
      </c>
      <c r="B263" s="2" t="s">
        <v>19</v>
      </c>
      <c r="C263" s="2" t="s">
        <v>50</v>
      </c>
      <c r="D263" s="2" t="s">
        <v>54</v>
      </c>
      <c r="E263" s="2" t="s">
        <v>22</v>
      </c>
      <c r="F263" s="2">
        <v>1277955380444250</v>
      </c>
      <c r="G263" s="2">
        <v>1.2024229057228E+17</v>
      </c>
      <c r="H263" s="2">
        <v>1.2024270613878E+17</v>
      </c>
      <c r="I263" s="2">
        <v>1.2024270623134E+17</v>
      </c>
      <c r="J263" s="2" t="s">
        <v>36</v>
      </c>
      <c r="K263" s="4">
        <v>9210</v>
      </c>
      <c r="L263">
        <v>909</v>
      </c>
      <c r="M263">
        <v>1011.35</v>
      </c>
      <c r="N263">
        <f t="shared" si="12"/>
        <v>8289</v>
      </c>
      <c r="O263">
        <f t="shared" si="13"/>
        <v>3730</v>
      </c>
      <c r="P263" s="5">
        <f t="shared" si="14"/>
        <v>6079</v>
      </c>
      <c r="S263">
        <v>1</v>
      </c>
    </row>
    <row r="264" spans="1:20" ht="15.75" thickBot="1" x14ac:dyDescent="0.3">
      <c r="A264" s="3">
        <v>46112</v>
      </c>
      <c r="B264" s="2" t="s">
        <v>19</v>
      </c>
      <c r="C264" s="2" t="s">
        <v>50</v>
      </c>
      <c r="D264" s="2" t="s">
        <v>54</v>
      </c>
      <c r="E264" s="2" t="s">
        <v>22</v>
      </c>
      <c r="F264" s="2">
        <v>1277955380444250</v>
      </c>
      <c r="G264" s="2">
        <v>1.2024229057228E+17</v>
      </c>
      <c r="H264" s="2">
        <v>1.2024270613878E+17</v>
      </c>
      <c r="I264" s="2">
        <v>1.2024270623134E+17</v>
      </c>
      <c r="J264" s="2" t="s">
        <v>52</v>
      </c>
      <c r="K264" s="4">
        <v>6130</v>
      </c>
      <c r="L264">
        <v>975</v>
      </c>
      <c r="M264">
        <v>481.86</v>
      </c>
      <c r="N264">
        <f t="shared" si="12"/>
        <v>5517</v>
      </c>
      <c r="O264">
        <f t="shared" si="13"/>
        <v>2483</v>
      </c>
      <c r="P264" s="5">
        <f t="shared" si="14"/>
        <v>4046</v>
      </c>
      <c r="S264">
        <v>639</v>
      </c>
      <c r="T264">
        <v>20</v>
      </c>
    </row>
    <row r="265" spans="1:20" ht="15.75" thickBot="1" x14ac:dyDescent="0.3">
      <c r="A265" s="3">
        <v>46112</v>
      </c>
      <c r="B265" s="2" t="s">
        <v>25</v>
      </c>
      <c r="C265" s="2" t="s">
        <v>26</v>
      </c>
      <c r="D265" s="2" t="s">
        <v>35</v>
      </c>
      <c r="E265" s="2" t="s">
        <v>22</v>
      </c>
      <c r="F265" s="2">
        <v>1277955380444250</v>
      </c>
      <c r="G265" s="2">
        <v>1.2024231584645E+17</v>
      </c>
      <c r="H265" s="2">
        <v>1.2024231618176E+17</v>
      </c>
      <c r="I265" s="2">
        <v>1.2024235726836E+17</v>
      </c>
      <c r="J265" s="2" t="s">
        <v>23</v>
      </c>
      <c r="K265" s="4">
        <v>7590</v>
      </c>
      <c r="L265">
        <v>483</v>
      </c>
      <c r="M265">
        <v>1290.53</v>
      </c>
      <c r="N265">
        <f t="shared" si="12"/>
        <v>6831</v>
      </c>
      <c r="O265">
        <f t="shared" si="13"/>
        <v>3074</v>
      </c>
      <c r="P265" s="5">
        <f t="shared" si="14"/>
        <v>5009</v>
      </c>
    </row>
    <row r="266" spans="1:20" ht="15.75" thickBot="1" x14ac:dyDescent="0.3">
      <c r="A266" s="3">
        <v>46112</v>
      </c>
      <c r="B266" s="2" t="s">
        <v>25</v>
      </c>
      <c r="C266" s="2" t="s">
        <v>26</v>
      </c>
      <c r="D266" s="2" t="s">
        <v>35</v>
      </c>
      <c r="E266" s="2" t="s">
        <v>22</v>
      </c>
      <c r="F266" s="2">
        <v>1277955380444250</v>
      </c>
      <c r="G266" s="2">
        <v>1.2024231584645E+17</v>
      </c>
      <c r="H266" s="2">
        <v>1.2024231618176E+17</v>
      </c>
      <c r="I266" s="2">
        <v>1.2024235726836E+17</v>
      </c>
      <c r="J266" s="2" t="s">
        <v>24</v>
      </c>
      <c r="K266" s="4">
        <v>8344</v>
      </c>
      <c r="L266">
        <v>293</v>
      </c>
      <c r="M266">
        <v>186.11</v>
      </c>
      <c r="N266">
        <f t="shared" si="12"/>
        <v>7510</v>
      </c>
      <c r="O266">
        <f t="shared" si="13"/>
        <v>3380</v>
      </c>
      <c r="P266" s="5">
        <f t="shared" si="14"/>
        <v>5507</v>
      </c>
    </row>
    <row r="267" spans="1:20" ht="15.75" thickBot="1" x14ac:dyDescent="0.3">
      <c r="A267" s="3">
        <v>46112</v>
      </c>
      <c r="B267" s="2" t="s">
        <v>25</v>
      </c>
      <c r="C267" s="2" t="s">
        <v>40</v>
      </c>
      <c r="D267" s="2" t="s">
        <v>42</v>
      </c>
      <c r="E267" s="2" t="s">
        <v>22</v>
      </c>
      <c r="F267" s="2">
        <v>1277955380444250</v>
      </c>
      <c r="G267" s="2">
        <v>1.2024231584645E+17</v>
      </c>
      <c r="H267" s="2">
        <v>1.2024246508913E+17</v>
      </c>
      <c r="I267" s="2">
        <v>1.2024246532294E+17</v>
      </c>
      <c r="J267" s="2" t="s">
        <v>23</v>
      </c>
      <c r="K267" s="4">
        <v>7967</v>
      </c>
      <c r="L267">
        <v>874</v>
      </c>
      <c r="M267">
        <v>967.27</v>
      </c>
      <c r="N267">
        <f t="shared" si="12"/>
        <v>7170</v>
      </c>
      <c r="O267">
        <f t="shared" si="13"/>
        <v>3227</v>
      </c>
      <c r="P267" s="5">
        <f t="shared" si="14"/>
        <v>5258</v>
      </c>
    </row>
    <row r="268" spans="1:20" ht="15.75" thickBot="1" x14ac:dyDescent="0.3">
      <c r="A268" s="3">
        <v>46112</v>
      </c>
      <c r="B268" s="2" t="s">
        <v>25</v>
      </c>
      <c r="C268" s="2" t="s">
        <v>40</v>
      </c>
      <c r="D268" s="2" t="s">
        <v>42</v>
      </c>
      <c r="E268" s="2" t="s">
        <v>22</v>
      </c>
      <c r="F268" s="2">
        <v>1277955380444250</v>
      </c>
      <c r="G268" s="2">
        <v>1.2024231584645E+17</v>
      </c>
      <c r="H268" s="2">
        <v>1.2024246508913E+17</v>
      </c>
      <c r="I268" s="2">
        <v>1.2024246532294E+17</v>
      </c>
      <c r="J268" s="2" t="s">
        <v>24</v>
      </c>
      <c r="K268" s="4">
        <v>4692</v>
      </c>
      <c r="L268">
        <v>666</v>
      </c>
      <c r="M268">
        <v>974.08</v>
      </c>
      <c r="N268">
        <f t="shared" si="12"/>
        <v>4223</v>
      </c>
      <c r="O268">
        <f t="shared" si="13"/>
        <v>1900</v>
      </c>
      <c r="P268" s="5">
        <f t="shared" si="14"/>
        <v>3097</v>
      </c>
    </row>
    <row r="269" spans="1:20" ht="15.75" thickBot="1" x14ac:dyDescent="0.3">
      <c r="A269" s="3">
        <v>46112</v>
      </c>
      <c r="B269" s="2" t="s">
        <v>25</v>
      </c>
      <c r="C269" s="2" t="s">
        <v>40</v>
      </c>
      <c r="D269" s="2" t="s">
        <v>61</v>
      </c>
      <c r="E269" s="2" t="s">
        <v>22</v>
      </c>
      <c r="F269" s="2">
        <v>1277955380444250</v>
      </c>
      <c r="G269" s="2">
        <v>1.2024231584645E+17</v>
      </c>
      <c r="H269" s="2">
        <v>1.2024246508913E+17</v>
      </c>
      <c r="I269" s="2">
        <v>1.2024294401448E+17</v>
      </c>
      <c r="J269" s="2" t="s">
        <v>23</v>
      </c>
      <c r="K269" s="4">
        <v>2866</v>
      </c>
      <c r="L269">
        <v>53</v>
      </c>
      <c r="M269">
        <v>1328.52</v>
      </c>
      <c r="N269">
        <f t="shared" si="12"/>
        <v>2579</v>
      </c>
      <c r="O269">
        <f t="shared" si="13"/>
        <v>1161</v>
      </c>
      <c r="P269" s="5">
        <f t="shared" si="14"/>
        <v>1892</v>
      </c>
    </row>
    <row r="270" spans="1:20" ht="15.75" thickBot="1" x14ac:dyDescent="0.3">
      <c r="A270" s="3">
        <v>46112</v>
      </c>
      <c r="B270" s="2" t="s">
        <v>25</v>
      </c>
      <c r="C270" s="2" t="s">
        <v>40</v>
      </c>
      <c r="D270" s="2" t="s">
        <v>61</v>
      </c>
      <c r="E270" s="2" t="s">
        <v>22</v>
      </c>
      <c r="F270" s="2">
        <v>1277955380444250</v>
      </c>
      <c r="G270" s="2">
        <v>1.2024231584645E+17</v>
      </c>
      <c r="H270" s="2">
        <v>1.2024246508913E+17</v>
      </c>
      <c r="I270" s="2">
        <v>1.2024294401448E+17</v>
      </c>
      <c r="J270" s="2" t="s">
        <v>24</v>
      </c>
      <c r="K270" s="4">
        <v>2005</v>
      </c>
      <c r="L270">
        <v>951</v>
      </c>
      <c r="M270">
        <v>160.75</v>
      </c>
      <c r="N270">
        <f t="shared" si="12"/>
        <v>1805</v>
      </c>
      <c r="O270">
        <f t="shared" si="13"/>
        <v>812</v>
      </c>
      <c r="P270" s="5">
        <f t="shared" si="14"/>
        <v>1323</v>
      </c>
    </row>
    <row r="271" spans="1:20" ht="15.75" thickBot="1" x14ac:dyDescent="0.3">
      <c r="A271" s="3">
        <v>46112</v>
      </c>
      <c r="B271" s="2" t="s">
        <v>25</v>
      </c>
      <c r="C271" s="2" t="s">
        <v>28</v>
      </c>
      <c r="D271" s="2" t="s">
        <v>37</v>
      </c>
      <c r="E271" s="2" t="s">
        <v>22</v>
      </c>
      <c r="F271" s="2">
        <v>1277955380444250</v>
      </c>
      <c r="G271" s="2">
        <v>1.2024231584645E+17</v>
      </c>
      <c r="H271" s="2">
        <v>1.2024231613167E+17</v>
      </c>
      <c r="I271" s="2">
        <v>1.2024235723042E+17</v>
      </c>
      <c r="J271" s="2" t="s">
        <v>23</v>
      </c>
      <c r="K271" s="4">
        <v>4126</v>
      </c>
      <c r="L271">
        <v>684</v>
      </c>
      <c r="M271">
        <v>974.01</v>
      </c>
      <c r="N271">
        <f t="shared" si="12"/>
        <v>3713</v>
      </c>
      <c r="O271">
        <f t="shared" si="13"/>
        <v>1671</v>
      </c>
      <c r="P271" s="5">
        <f t="shared" si="14"/>
        <v>2723</v>
      </c>
    </row>
    <row r="272" spans="1:20" ht="15.75" thickBot="1" x14ac:dyDescent="0.3">
      <c r="A272" s="3">
        <v>46112</v>
      </c>
      <c r="B272" s="2" t="s">
        <v>25</v>
      </c>
      <c r="C272" s="2" t="s">
        <v>28</v>
      </c>
      <c r="D272" s="2" t="s">
        <v>37</v>
      </c>
      <c r="E272" s="2" t="s">
        <v>22</v>
      </c>
      <c r="F272" s="2">
        <v>1277955380444250</v>
      </c>
      <c r="G272" s="2">
        <v>1.2024231584645E+17</v>
      </c>
      <c r="H272" s="2">
        <v>1.2024231613167E+17</v>
      </c>
      <c r="I272" s="2">
        <v>1.2024235723042E+17</v>
      </c>
      <c r="J272" s="2" t="s">
        <v>24</v>
      </c>
      <c r="K272" s="4">
        <v>7755</v>
      </c>
      <c r="L272">
        <v>76</v>
      </c>
      <c r="M272">
        <v>1756.87</v>
      </c>
      <c r="N272">
        <f t="shared" si="12"/>
        <v>6980</v>
      </c>
      <c r="O272">
        <f t="shared" si="13"/>
        <v>3141</v>
      </c>
      <c r="P272" s="5">
        <f t="shared" si="14"/>
        <v>5118</v>
      </c>
    </row>
    <row r="273" spans="1:20" ht="15.75" thickBot="1" x14ac:dyDescent="0.3">
      <c r="A273" s="3">
        <v>46112</v>
      </c>
      <c r="B273" s="2" t="s">
        <v>25</v>
      </c>
      <c r="C273" s="2" t="s">
        <v>30</v>
      </c>
      <c r="D273" s="2" t="s">
        <v>38</v>
      </c>
      <c r="E273" s="2" t="s">
        <v>22</v>
      </c>
      <c r="F273" s="2">
        <v>1277955380444250</v>
      </c>
      <c r="G273" s="2">
        <v>1.2024231584645E+17</v>
      </c>
      <c r="H273" s="2">
        <v>1.2024231592817E+17</v>
      </c>
      <c r="I273" s="2">
        <v>1.202423571795E+17</v>
      </c>
      <c r="J273" s="2" t="s">
        <v>23</v>
      </c>
      <c r="K273" s="4">
        <v>5000</v>
      </c>
      <c r="L273">
        <v>474</v>
      </c>
      <c r="M273">
        <v>402.89</v>
      </c>
      <c r="N273">
        <f t="shared" si="12"/>
        <v>4500</v>
      </c>
      <c r="O273">
        <f t="shared" si="13"/>
        <v>2025</v>
      </c>
      <c r="P273" s="5">
        <f t="shared" si="14"/>
        <v>3300</v>
      </c>
    </row>
    <row r="274" spans="1:20" ht="15.75" thickBot="1" x14ac:dyDescent="0.3">
      <c r="A274" s="3">
        <v>46112</v>
      </c>
      <c r="B274" s="2" t="s">
        <v>25</v>
      </c>
      <c r="C274" s="2" t="s">
        <v>30</v>
      </c>
      <c r="D274" s="2" t="s">
        <v>38</v>
      </c>
      <c r="E274" s="2" t="s">
        <v>22</v>
      </c>
      <c r="F274" s="2">
        <v>1277955380444250</v>
      </c>
      <c r="G274" s="2">
        <v>1.2024231584645E+17</v>
      </c>
      <c r="H274" s="2">
        <v>1.2024231592817E+17</v>
      </c>
      <c r="I274" s="2">
        <v>1.202423571795E+17</v>
      </c>
      <c r="J274" s="2" t="s">
        <v>24</v>
      </c>
      <c r="K274" s="4">
        <v>4120</v>
      </c>
      <c r="L274">
        <v>743</v>
      </c>
      <c r="M274">
        <v>1122.57</v>
      </c>
      <c r="N274">
        <f t="shared" si="12"/>
        <v>3708</v>
      </c>
      <c r="O274">
        <f t="shared" si="13"/>
        <v>1669</v>
      </c>
      <c r="P274" s="5">
        <f t="shared" si="14"/>
        <v>2719</v>
      </c>
    </row>
    <row r="275" spans="1:20" ht="15.75" thickBot="1" x14ac:dyDescent="0.3">
      <c r="A275" s="3">
        <v>46112</v>
      </c>
      <c r="B275" s="2" t="s">
        <v>25</v>
      </c>
      <c r="C275" s="2" t="s">
        <v>32</v>
      </c>
      <c r="D275" s="2" t="s">
        <v>39</v>
      </c>
      <c r="E275" s="2" t="s">
        <v>22</v>
      </c>
      <c r="F275" s="2">
        <v>1277955380444250</v>
      </c>
      <c r="G275" s="2">
        <v>1.2024231584645E+17</v>
      </c>
      <c r="H275" s="2">
        <v>1.2024231584646E+17</v>
      </c>
      <c r="I275" s="2">
        <v>1.202423570912E+17</v>
      </c>
      <c r="J275" s="2" t="s">
        <v>23</v>
      </c>
      <c r="K275" s="4">
        <v>4371</v>
      </c>
      <c r="L275">
        <v>304</v>
      </c>
      <c r="M275">
        <v>1280.01</v>
      </c>
      <c r="N275">
        <f t="shared" si="12"/>
        <v>3934</v>
      </c>
      <c r="O275">
        <f t="shared" si="13"/>
        <v>1770</v>
      </c>
      <c r="P275" s="5">
        <f t="shared" si="14"/>
        <v>2885</v>
      </c>
    </row>
    <row r="276" spans="1:20" ht="15.75" thickBot="1" x14ac:dyDescent="0.3">
      <c r="A276" s="3">
        <v>46112</v>
      </c>
      <c r="B276" s="2" t="s">
        <v>25</v>
      </c>
      <c r="C276" s="2" t="s">
        <v>32</v>
      </c>
      <c r="D276" s="2" t="s">
        <v>39</v>
      </c>
      <c r="E276" s="2" t="s">
        <v>22</v>
      </c>
      <c r="F276" s="2">
        <v>1277955380444250</v>
      </c>
      <c r="G276" s="2">
        <v>1.2024231584645E+17</v>
      </c>
      <c r="H276" s="2">
        <v>1.2024231584646E+17</v>
      </c>
      <c r="I276" s="2">
        <v>1.202423570912E+17</v>
      </c>
      <c r="J276" s="2" t="s">
        <v>24</v>
      </c>
      <c r="K276" s="4">
        <v>9233</v>
      </c>
      <c r="L276">
        <v>419</v>
      </c>
      <c r="M276">
        <v>487.58</v>
      </c>
      <c r="N276">
        <f t="shared" si="12"/>
        <v>8310</v>
      </c>
      <c r="O276">
        <f t="shared" si="13"/>
        <v>3740</v>
      </c>
      <c r="P276" s="5">
        <f t="shared" si="14"/>
        <v>6094</v>
      </c>
    </row>
    <row r="277" spans="1:20" ht="15.75" thickBot="1" x14ac:dyDescent="0.3">
      <c r="A277" s="3">
        <v>46112</v>
      </c>
      <c r="B277" s="2" t="s">
        <v>56</v>
      </c>
      <c r="C277" s="2" t="s">
        <v>57</v>
      </c>
      <c r="D277" s="2" t="s">
        <v>58</v>
      </c>
      <c r="E277" s="2" t="s">
        <v>22</v>
      </c>
      <c r="F277" s="2">
        <v>1277955380444250</v>
      </c>
      <c r="G277" s="2">
        <v>1.2024270854698E+17</v>
      </c>
      <c r="H277" s="2">
        <v>1.2024270854697E+17</v>
      </c>
      <c r="I277" s="2">
        <v>1.2024270854699E+17</v>
      </c>
      <c r="J277" s="2" t="s">
        <v>24</v>
      </c>
      <c r="K277" s="4">
        <v>1556</v>
      </c>
      <c r="L277">
        <v>137</v>
      </c>
      <c r="M277">
        <v>769.29</v>
      </c>
      <c r="N277">
        <f t="shared" si="12"/>
        <v>1400</v>
      </c>
      <c r="O277">
        <f t="shared" si="13"/>
        <v>630</v>
      </c>
      <c r="P277" s="5">
        <f t="shared" si="14"/>
        <v>1027</v>
      </c>
    </row>
    <row r="278" spans="1:20" ht="15.75" thickBot="1" x14ac:dyDescent="0.3">
      <c r="A278" s="3">
        <v>46112</v>
      </c>
      <c r="B278" s="2" t="s">
        <v>56</v>
      </c>
      <c r="C278" s="2" t="s">
        <v>57</v>
      </c>
      <c r="D278" s="2" t="s">
        <v>58</v>
      </c>
      <c r="E278" s="2" t="s">
        <v>22</v>
      </c>
      <c r="F278" s="2">
        <v>1277955380444250</v>
      </c>
      <c r="G278" s="2">
        <v>1.2024270854698E+17</v>
      </c>
      <c r="H278" s="2">
        <v>1.2024270854697E+17</v>
      </c>
      <c r="I278" s="2">
        <v>1.2024270854699E+17</v>
      </c>
      <c r="J278" s="2" t="s">
        <v>46</v>
      </c>
      <c r="K278" s="4">
        <v>7560</v>
      </c>
      <c r="L278">
        <v>151</v>
      </c>
      <c r="M278">
        <v>1285.19</v>
      </c>
      <c r="N278">
        <f t="shared" si="12"/>
        <v>6804</v>
      </c>
      <c r="O278">
        <f t="shared" si="13"/>
        <v>3062</v>
      </c>
      <c r="P278" s="5">
        <f t="shared" si="14"/>
        <v>4990</v>
      </c>
    </row>
    <row r="279" spans="1:20" ht="15.75" thickBot="1" x14ac:dyDescent="0.3">
      <c r="A279" s="3">
        <v>46112</v>
      </c>
      <c r="B279" s="2" t="s">
        <v>56</v>
      </c>
      <c r="C279" s="2" t="s">
        <v>57</v>
      </c>
      <c r="D279" s="2" t="s">
        <v>62</v>
      </c>
      <c r="E279" s="2" t="s">
        <v>22</v>
      </c>
      <c r="F279" s="2">
        <v>1277955380444250</v>
      </c>
      <c r="G279" s="2">
        <v>1.2024270854698E+17</v>
      </c>
      <c r="H279" s="2">
        <v>1.2024270854697E+17</v>
      </c>
      <c r="I279" s="2">
        <v>1.2024294320387E+17</v>
      </c>
      <c r="J279" s="2" t="s">
        <v>23</v>
      </c>
      <c r="K279" s="4">
        <v>4552</v>
      </c>
      <c r="L279">
        <v>219</v>
      </c>
      <c r="M279">
        <v>246.35</v>
      </c>
      <c r="N279">
        <f t="shared" si="12"/>
        <v>4097</v>
      </c>
      <c r="O279">
        <f t="shared" si="13"/>
        <v>1844</v>
      </c>
      <c r="P279" s="5">
        <f t="shared" si="14"/>
        <v>3004</v>
      </c>
    </row>
    <row r="280" spans="1:20" ht="15.75" thickBot="1" x14ac:dyDescent="0.3">
      <c r="A280" s="3">
        <v>46112</v>
      </c>
      <c r="B280" s="2" t="s">
        <v>56</v>
      </c>
      <c r="C280" s="2" t="s">
        <v>57</v>
      </c>
      <c r="D280" s="2" t="s">
        <v>62</v>
      </c>
      <c r="E280" s="2" t="s">
        <v>22</v>
      </c>
      <c r="F280" s="2">
        <v>1277955380444250</v>
      </c>
      <c r="G280" s="2">
        <v>1.2024270854698E+17</v>
      </c>
      <c r="H280" s="2">
        <v>1.2024270854697E+17</v>
      </c>
      <c r="I280" s="2">
        <v>1.2024294320387E+17</v>
      </c>
      <c r="J280" s="2" t="s">
        <v>24</v>
      </c>
      <c r="K280" s="4">
        <v>6875</v>
      </c>
      <c r="L280">
        <v>310</v>
      </c>
      <c r="M280">
        <v>1645.34</v>
      </c>
      <c r="N280">
        <f t="shared" si="12"/>
        <v>6188</v>
      </c>
      <c r="O280">
        <f t="shared" si="13"/>
        <v>2785</v>
      </c>
      <c r="P280" s="5">
        <f t="shared" si="14"/>
        <v>4538</v>
      </c>
    </row>
    <row r="281" spans="1:20" ht="15.75" thickBot="1" x14ac:dyDescent="0.3">
      <c r="A281" s="3">
        <v>46112</v>
      </c>
      <c r="B281" s="2" t="s">
        <v>56</v>
      </c>
      <c r="C281" s="2" t="s">
        <v>57</v>
      </c>
      <c r="D281" s="2" t="s">
        <v>62</v>
      </c>
      <c r="E281" s="2" t="s">
        <v>22</v>
      </c>
      <c r="F281" s="2">
        <v>1277955380444250</v>
      </c>
      <c r="G281" s="2">
        <v>1.2024270854698E+17</v>
      </c>
      <c r="H281" s="2">
        <v>1.2024270854697E+17</v>
      </c>
      <c r="I281" s="2">
        <v>1.2024294320387E+17</v>
      </c>
      <c r="J281" s="2" t="s">
        <v>46</v>
      </c>
      <c r="K281" s="4">
        <v>5191</v>
      </c>
      <c r="L281">
        <v>884</v>
      </c>
      <c r="M281">
        <v>1127.98</v>
      </c>
      <c r="N281">
        <f t="shared" si="12"/>
        <v>4672</v>
      </c>
      <c r="O281">
        <f t="shared" si="13"/>
        <v>2102</v>
      </c>
      <c r="P281" s="5">
        <f t="shared" si="14"/>
        <v>3426</v>
      </c>
    </row>
    <row r="282" spans="1:20" ht="15.75" thickBot="1" x14ac:dyDescent="0.3">
      <c r="A282" s="3">
        <v>46112</v>
      </c>
      <c r="B282" s="2" t="s">
        <v>56</v>
      </c>
      <c r="C282" s="2" t="s">
        <v>57</v>
      </c>
      <c r="D282" s="2" t="s">
        <v>63</v>
      </c>
      <c r="E282" s="2" t="s">
        <v>22</v>
      </c>
      <c r="F282" s="2">
        <v>1277955380444250</v>
      </c>
      <c r="G282" s="2">
        <v>1.2024270854698E+17</v>
      </c>
      <c r="H282" s="2">
        <v>1.2024270854697E+17</v>
      </c>
      <c r="I282" s="2">
        <v>1.2024294325528E+17</v>
      </c>
      <c r="J282" s="2" t="s">
        <v>23</v>
      </c>
      <c r="K282" s="4">
        <v>1198</v>
      </c>
      <c r="L282">
        <v>633</v>
      </c>
      <c r="M282">
        <v>348.06</v>
      </c>
      <c r="N282">
        <f t="shared" si="12"/>
        <v>1078</v>
      </c>
      <c r="O282">
        <f t="shared" si="13"/>
        <v>485</v>
      </c>
      <c r="P282" s="5">
        <f t="shared" si="14"/>
        <v>791</v>
      </c>
    </row>
    <row r="283" spans="1:20" ht="15.75" thickBot="1" x14ac:dyDescent="0.3">
      <c r="A283" s="3">
        <v>46112</v>
      </c>
      <c r="B283" s="2" t="s">
        <v>56</v>
      </c>
      <c r="C283" s="2" t="s">
        <v>57</v>
      </c>
      <c r="D283" s="2" t="s">
        <v>63</v>
      </c>
      <c r="E283" s="2" t="s">
        <v>22</v>
      </c>
      <c r="F283" s="2">
        <v>1277955380444250</v>
      </c>
      <c r="G283" s="2">
        <v>1.2024270854698E+17</v>
      </c>
      <c r="H283" s="2">
        <v>1.2024270854697E+17</v>
      </c>
      <c r="I283" s="2">
        <v>1.2024294325528E+17</v>
      </c>
      <c r="J283" s="2" t="s">
        <v>24</v>
      </c>
      <c r="K283" s="4">
        <v>3248</v>
      </c>
      <c r="L283">
        <v>111</v>
      </c>
      <c r="M283">
        <v>750.77</v>
      </c>
      <c r="N283">
        <f t="shared" si="12"/>
        <v>2923</v>
      </c>
      <c r="O283">
        <f t="shared" si="13"/>
        <v>1315</v>
      </c>
      <c r="P283" s="5">
        <f t="shared" si="14"/>
        <v>2144</v>
      </c>
    </row>
    <row r="284" spans="1:20" ht="15.75" thickBot="1" x14ac:dyDescent="0.3">
      <c r="A284" s="3">
        <v>46112</v>
      </c>
      <c r="B284" s="2" t="s">
        <v>56</v>
      </c>
      <c r="C284" s="2" t="s">
        <v>57</v>
      </c>
      <c r="D284" s="2" t="s">
        <v>63</v>
      </c>
      <c r="E284" s="2" t="s">
        <v>22</v>
      </c>
      <c r="F284" s="2">
        <v>1277955380444250</v>
      </c>
      <c r="G284" s="2">
        <v>1.2024270854698E+17</v>
      </c>
      <c r="H284" s="2">
        <v>1.2024270854697E+17</v>
      </c>
      <c r="I284" s="2">
        <v>1.2024294325528E+17</v>
      </c>
      <c r="J284" s="2" t="s">
        <v>46</v>
      </c>
      <c r="K284" s="4">
        <v>4534</v>
      </c>
      <c r="L284">
        <v>861</v>
      </c>
      <c r="M284">
        <v>1495.05</v>
      </c>
      <c r="N284">
        <f t="shared" si="12"/>
        <v>4081</v>
      </c>
      <c r="O284">
        <f t="shared" si="13"/>
        <v>1836</v>
      </c>
      <c r="P284" s="5">
        <f t="shared" si="14"/>
        <v>2992</v>
      </c>
    </row>
    <row r="285" spans="1:20" ht="15.75" thickBot="1" x14ac:dyDescent="0.3">
      <c r="A285" s="3">
        <v>46113</v>
      </c>
      <c r="B285" s="2" t="s">
        <v>47</v>
      </c>
      <c r="C285" s="2" t="s">
        <v>48</v>
      </c>
      <c r="D285" s="2" t="s">
        <v>59</v>
      </c>
      <c r="E285" s="2" t="s">
        <v>22</v>
      </c>
      <c r="F285" s="2">
        <v>1277955380444250</v>
      </c>
      <c r="G285" s="2">
        <v>1.2024261720294E+17</v>
      </c>
      <c r="H285" s="2">
        <v>1.2024261720296E+17</v>
      </c>
      <c r="I285" s="2">
        <v>1.2024292230769E+17</v>
      </c>
      <c r="J285" s="2" t="s">
        <v>23</v>
      </c>
      <c r="K285" s="4">
        <v>6712</v>
      </c>
      <c r="L285">
        <v>77</v>
      </c>
      <c r="M285">
        <v>599.26</v>
      </c>
      <c r="N285">
        <f t="shared" si="12"/>
        <v>6041</v>
      </c>
      <c r="O285">
        <f t="shared" si="13"/>
        <v>2718</v>
      </c>
      <c r="P285" s="5">
        <f t="shared" si="14"/>
        <v>4430</v>
      </c>
      <c r="R285">
        <v>2</v>
      </c>
      <c r="S285">
        <v>14</v>
      </c>
      <c r="T285">
        <v>2</v>
      </c>
    </row>
    <row r="286" spans="1:20" ht="15.75" thickBot="1" x14ac:dyDescent="0.3">
      <c r="A286" s="3">
        <v>46113</v>
      </c>
      <c r="B286" s="2" t="s">
        <v>47</v>
      </c>
      <c r="C286" s="2" t="s">
        <v>48</v>
      </c>
      <c r="D286" s="2" t="s">
        <v>59</v>
      </c>
      <c r="E286" s="2" t="s">
        <v>22</v>
      </c>
      <c r="F286" s="2">
        <v>1277955380444250</v>
      </c>
      <c r="G286" s="2">
        <v>1.2024261720294E+17</v>
      </c>
      <c r="H286" s="2">
        <v>1.2024261720296E+17</v>
      </c>
      <c r="I286" s="2">
        <v>1.2024292230769E+17</v>
      </c>
      <c r="J286" s="2" t="s">
        <v>24</v>
      </c>
      <c r="K286" s="4">
        <v>4033</v>
      </c>
      <c r="L286">
        <v>376</v>
      </c>
      <c r="M286">
        <v>830.9</v>
      </c>
      <c r="N286">
        <f t="shared" si="12"/>
        <v>3630</v>
      </c>
      <c r="O286">
        <f t="shared" si="13"/>
        <v>1634</v>
      </c>
      <c r="P286" s="5">
        <f t="shared" si="14"/>
        <v>2662</v>
      </c>
      <c r="R286">
        <v>219</v>
      </c>
      <c r="S286">
        <v>554</v>
      </c>
      <c r="T286">
        <v>126</v>
      </c>
    </row>
    <row r="287" spans="1:20" ht="15.75" thickBot="1" x14ac:dyDescent="0.3">
      <c r="A287" s="3">
        <v>46113</v>
      </c>
      <c r="B287" s="2" t="s">
        <v>47</v>
      </c>
      <c r="C287" s="2" t="s">
        <v>48</v>
      </c>
      <c r="D287" s="2" t="s">
        <v>49</v>
      </c>
      <c r="E287" s="2" t="s">
        <v>22</v>
      </c>
      <c r="F287" s="2">
        <v>1277955380444250</v>
      </c>
      <c r="G287" s="2">
        <v>1.2024261720294E+17</v>
      </c>
      <c r="H287" s="2">
        <v>1.2024261720296E+17</v>
      </c>
      <c r="I287" s="2">
        <v>1.2024261720295E+17</v>
      </c>
      <c r="J287" s="2" t="s">
        <v>23</v>
      </c>
      <c r="K287" s="4">
        <v>5507</v>
      </c>
      <c r="L287">
        <v>510</v>
      </c>
      <c r="M287">
        <v>1765.58</v>
      </c>
      <c r="N287">
        <f t="shared" si="12"/>
        <v>4956</v>
      </c>
      <c r="O287">
        <f t="shared" si="13"/>
        <v>2230</v>
      </c>
      <c r="P287" s="5">
        <f t="shared" si="14"/>
        <v>3635</v>
      </c>
      <c r="R287">
        <v>74</v>
      </c>
      <c r="S287">
        <v>948</v>
      </c>
      <c r="T287">
        <v>83</v>
      </c>
    </row>
    <row r="288" spans="1:20" ht="15.75" thickBot="1" x14ac:dyDescent="0.3">
      <c r="A288" s="3">
        <v>46113</v>
      </c>
      <c r="B288" s="2" t="s">
        <v>47</v>
      </c>
      <c r="C288" s="2" t="s">
        <v>48</v>
      </c>
      <c r="D288" s="2" t="s">
        <v>49</v>
      </c>
      <c r="E288" s="2" t="s">
        <v>22</v>
      </c>
      <c r="F288" s="2">
        <v>1277955380444250</v>
      </c>
      <c r="G288" s="2">
        <v>1.2024261720294E+17</v>
      </c>
      <c r="H288" s="2">
        <v>1.2024261720296E+17</v>
      </c>
      <c r="I288" s="2">
        <v>1.2024261720295E+17</v>
      </c>
      <c r="J288" s="2" t="s">
        <v>24</v>
      </c>
      <c r="K288" s="4">
        <v>7358</v>
      </c>
      <c r="L288">
        <v>87</v>
      </c>
      <c r="M288">
        <v>580.19000000000005</v>
      </c>
      <c r="N288">
        <f t="shared" si="12"/>
        <v>6622</v>
      </c>
      <c r="O288">
        <f t="shared" si="13"/>
        <v>2980</v>
      </c>
      <c r="P288" s="5">
        <f t="shared" si="14"/>
        <v>4856</v>
      </c>
      <c r="R288">
        <v>25341</v>
      </c>
      <c r="S288">
        <v>39420</v>
      </c>
      <c r="T288">
        <v>7504</v>
      </c>
    </row>
    <row r="289" spans="1:20" ht="15.75" thickBot="1" x14ac:dyDescent="0.3">
      <c r="A289" s="3">
        <v>46113</v>
      </c>
      <c r="B289" s="2" t="s">
        <v>47</v>
      </c>
      <c r="C289" s="2" t="s">
        <v>48</v>
      </c>
      <c r="D289" s="2" t="s">
        <v>60</v>
      </c>
      <c r="E289" s="2" t="s">
        <v>22</v>
      </c>
      <c r="F289" s="2">
        <v>1277955380444250</v>
      </c>
      <c r="G289" s="2">
        <v>1.2024261720294E+17</v>
      </c>
      <c r="H289" s="2">
        <v>1.2024261720296E+17</v>
      </c>
      <c r="I289" s="2">
        <v>1.2024292195261E+17</v>
      </c>
      <c r="J289" s="2" t="s">
        <v>23</v>
      </c>
      <c r="K289" s="4">
        <v>2031</v>
      </c>
      <c r="L289">
        <v>104</v>
      </c>
      <c r="M289">
        <v>146.28</v>
      </c>
      <c r="N289">
        <f t="shared" si="12"/>
        <v>1828</v>
      </c>
      <c r="O289">
        <f t="shared" si="13"/>
        <v>823</v>
      </c>
      <c r="P289" s="5">
        <f t="shared" si="14"/>
        <v>1340</v>
      </c>
      <c r="R289">
        <v>49180</v>
      </c>
      <c r="S289">
        <v>150974</v>
      </c>
      <c r="T289">
        <v>24558</v>
      </c>
    </row>
    <row r="290" spans="1:20" ht="15.75" thickBot="1" x14ac:dyDescent="0.3">
      <c r="A290" s="3">
        <v>46113</v>
      </c>
      <c r="B290" s="2" t="s">
        <v>47</v>
      </c>
      <c r="C290" s="2" t="s">
        <v>48</v>
      </c>
      <c r="D290" s="2" t="s">
        <v>60</v>
      </c>
      <c r="E290" s="2" t="s">
        <v>22</v>
      </c>
      <c r="F290" s="2">
        <v>1277955380444250</v>
      </c>
      <c r="G290" s="2">
        <v>1.2024261720294E+17</v>
      </c>
      <c r="H290" s="2">
        <v>1.2024261720296E+17</v>
      </c>
      <c r="I290" s="2">
        <v>1.2024292195261E+17</v>
      </c>
      <c r="J290" s="2" t="s">
        <v>24</v>
      </c>
      <c r="K290" s="4">
        <v>4160</v>
      </c>
      <c r="L290">
        <v>459</v>
      </c>
      <c r="M290">
        <v>1236.24</v>
      </c>
      <c r="N290">
        <f t="shared" si="12"/>
        <v>3744</v>
      </c>
      <c r="O290">
        <f t="shared" si="13"/>
        <v>1685</v>
      </c>
      <c r="P290" s="5">
        <f t="shared" si="14"/>
        <v>2746</v>
      </c>
      <c r="R290">
        <v>1380333</v>
      </c>
      <c r="S290">
        <v>4205695</v>
      </c>
      <c r="T290">
        <v>939836</v>
      </c>
    </row>
    <row r="291" spans="1:20" ht="15.75" thickBot="1" x14ac:dyDescent="0.3">
      <c r="A291" s="3">
        <v>46113</v>
      </c>
      <c r="B291" s="2" t="s">
        <v>19</v>
      </c>
      <c r="C291" s="2" t="s">
        <v>20</v>
      </c>
      <c r="D291" s="2" t="s">
        <v>21</v>
      </c>
      <c r="E291" s="2" t="s">
        <v>22</v>
      </c>
      <c r="F291" s="2">
        <v>1277955380444250</v>
      </c>
      <c r="G291" s="2">
        <v>1.2024229057228E+17</v>
      </c>
      <c r="H291" s="2">
        <v>1.2024229057229E+17</v>
      </c>
      <c r="I291" s="2">
        <v>1.2024229057227E+17</v>
      </c>
      <c r="J291" s="2" t="s">
        <v>23</v>
      </c>
      <c r="K291" s="4">
        <v>4555</v>
      </c>
      <c r="L291">
        <v>878</v>
      </c>
      <c r="M291">
        <v>322.45</v>
      </c>
      <c r="N291">
        <f t="shared" si="12"/>
        <v>4100</v>
      </c>
      <c r="O291">
        <f t="shared" si="13"/>
        <v>1845</v>
      </c>
      <c r="P291" s="5">
        <f t="shared" si="14"/>
        <v>3006</v>
      </c>
      <c r="S291">
        <v>1900</v>
      </c>
      <c r="T291">
        <v>19</v>
      </c>
    </row>
    <row r="292" spans="1:20" ht="15.75" thickBot="1" x14ac:dyDescent="0.3">
      <c r="A292" s="3">
        <v>46113</v>
      </c>
      <c r="B292" s="2" t="s">
        <v>19</v>
      </c>
      <c r="C292" s="2" t="s">
        <v>20</v>
      </c>
      <c r="D292" s="2" t="s">
        <v>21</v>
      </c>
      <c r="E292" s="2" t="s">
        <v>22</v>
      </c>
      <c r="F292" s="2">
        <v>1277955380444250</v>
      </c>
      <c r="G292" s="2">
        <v>1.2024229057228E+17</v>
      </c>
      <c r="H292" s="2">
        <v>1.2024229057229E+17</v>
      </c>
      <c r="I292" s="2">
        <v>1.2024229057227E+17</v>
      </c>
      <c r="J292" s="2" t="s">
        <v>24</v>
      </c>
      <c r="K292" s="4">
        <v>9082</v>
      </c>
      <c r="L292">
        <v>95</v>
      </c>
      <c r="M292">
        <v>522.59</v>
      </c>
      <c r="N292">
        <f t="shared" si="12"/>
        <v>8174</v>
      </c>
      <c r="O292">
        <f t="shared" si="13"/>
        <v>3678</v>
      </c>
      <c r="P292" s="5">
        <f t="shared" si="14"/>
        <v>5994</v>
      </c>
      <c r="S292">
        <v>62327</v>
      </c>
      <c r="T292">
        <v>200</v>
      </c>
    </row>
    <row r="293" spans="1:20" ht="15.75" thickBot="1" x14ac:dyDescent="0.3">
      <c r="A293" s="3">
        <v>46113</v>
      </c>
      <c r="B293" s="2" t="s">
        <v>19</v>
      </c>
      <c r="C293" s="2" t="s">
        <v>20</v>
      </c>
      <c r="D293" s="2" t="s">
        <v>34</v>
      </c>
      <c r="E293" s="2" t="s">
        <v>22</v>
      </c>
      <c r="F293" s="2">
        <v>1277955380444250</v>
      </c>
      <c r="G293" s="2">
        <v>1.2024229057228E+17</v>
      </c>
      <c r="H293" s="2">
        <v>1.2024229057229E+17</v>
      </c>
      <c r="I293" s="2">
        <v>1.2024229334046E+17</v>
      </c>
      <c r="J293" s="2" t="s">
        <v>23</v>
      </c>
      <c r="K293" s="4">
        <v>1379</v>
      </c>
      <c r="L293">
        <v>197</v>
      </c>
      <c r="M293">
        <v>1496.12</v>
      </c>
      <c r="N293">
        <f t="shared" si="12"/>
        <v>1241</v>
      </c>
      <c r="O293">
        <f t="shared" si="13"/>
        <v>558</v>
      </c>
      <c r="P293" s="5">
        <f t="shared" si="14"/>
        <v>910</v>
      </c>
      <c r="S293">
        <v>502</v>
      </c>
      <c r="T293">
        <v>5</v>
      </c>
    </row>
    <row r="294" spans="1:20" ht="15.75" thickBot="1" x14ac:dyDescent="0.3">
      <c r="A294" s="3">
        <v>46113</v>
      </c>
      <c r="B294" s="2" t="s">
        <v>19</v>
      </c>
      <c r="C294" s="2" t="s">
        <v>20</v>
      </c>
      <c r="D294" s="2" t="s">
        <v>34</v>
      </c>
      <c r="E294" s="2" t="s">
        <v>22</v>
      </c>
      <c r="F294" s="2">
        <v>1277955380444250</v>
      </c>
      <c r="G294" s="2">
        <v>1.2024229057228E+17</v>
      </c>
      <c r="H294" s="2">
        <v>1.2024229057229E+17</v>
      </c>
      <c r="I294" s="2">
        <v>1.2024229334046E+17</v>
      </c>
      <c r="J294" s="2" t="s">
        <v>24</v>
      </c>
      <c r="K294" s="4">
        <v>3645</v>
      </c>
      <c r="L294">
        <v>497</v>
      </c>
      <c r="M294">
        <v>1680.44</v>
      </c>
      <c r="N294">
        <f t="shared" si="12"/>
        <v>3281</v>
      </c>
      <c r="O294">
        <f t="shared" si="13"/>
        <v>1476</v>
      </c>
      <c r="P294" s="5">
        <f t="shared" si="14"/>
        <v>2406</v>
      </c>
      <c r="S294">
        <v>126808</v>
      </c>
      <c r="T294">
        <v>549</v>
      </c>
    </row>
    <row r="295" spans="1:20" ht="15.75" thickBot="1" x14ac:dyDescent="0.3">
      <c r="A295" s="3">
        <v>46113</v>
      </c>
      <c r="B295" s="2" t="s">
        <v>19</v>
      </c>
      <c r="C295" s="2" t="s">
        <v>50</v>
      </c>
      <c r="D295" s="2" t="s">
        <v>51</v>
      </c>
      <c r="E295" s="2" t="s">
        <v>22</v>
      </c>
      <c r="F295" s="2">
        <v>1277955380444250</v>
      </c>
      <c r="G295" s="2">
        <v>1.2024229057228E+17</v>
      </c>
      <c r="H295" s="2">
        <v>1.2024270613878E+17</v>
      </c>
      <c r="I295" s="2">
        <v>1.202427061388E+17</v>
      </c>
      <c r="J295" s="2" t="s">
        <v>23</v>
      </c>
      <c r="K295" s="4">
        <v>3340</v>
      </c>
      <c r="L295">
        <v>528</v>
      </c>
      <c r="M295">
        <v>1833.28</v>
      </c>
      <c r="N295">
        <f t="shared" si="12"/>
        <v>3006</v>
      </c>
      <c r="O295">
        <f t="shared" si="13"/>
        <v>1353</v>
      </c>
      <c r="P295" s="5">
        <f t="shared" si="14"/>
        <v>2204</v>
      </c>
      <c r="S295">
        <v>84887</v>
      </c>
      <c r="T295">
        <v>2672</v>
      </c>
    </row>
    <row r="296" spans="1:20" ht="15.75" thickBot="1" x14ac:dyDescent="0.3">
      <c r="A296" s="3">
        <v>46113</v>
      </c>
      <c r="B296" s="2" t="s">
        <v>19</v>
      </c>
      <c r="C296" s="2" t="s">
        <v>50</v>
      </c>
      <c r="D296" s="2" t="s">
        <v>51</v>
      </c>
      <c r="E296" s="2" t="s">
        <v>22</v>
      </c>
      <c r="F296" s="2">
        <v>1277955380444250</v>
      </c>
      <c r="G296" s="2">
        <v>1.2024229057228E+17</v>
      </c>
      <c r="H296" s="2">
        <v>1.2024270613878E+17</v>
      </c>
      <c r="I296" s="2">
        <v>1.202427061388E+17</v>
      </c>
      <c r="J296" s="2" t="s">
        <v>24</v>
      </c>
      <c r="K296" s="4">
        <v>3068</v>
      </c>
      <c r="L296">
        <v>496</v>
      </c>
      <c r="M296">
        <v>1601.31</v>
      </c>
      <c r="N296">
        <f t="shared" si="12"/>
        <v>2761</v>
      </c>
      <c r="O296">
        <f t="shared" si="13"/>
        <v>1242</v>
      </c>
      <c r="P296" s="5">
        <f t="shared" si="14"/>
        <v>2025</v>
      </c>
      <c r="S296">
        <v>763731</v>
      </c>
      <c r="T296">
        <v>4395</v>
      </c>
    </row>
    <row r="297" spans="1:20" ht="15.75" thickBot="1" x14ac:dyDescent="0.3">
      <c r="A297" s="3">
        <v>46113</v>
      </c>
      <c r="B297" s="2" t="s">
        <v>19</v>
      </c>
      <c r="C297" s="2" t="s">
        <v>50</v>
      </c>
      <c r="D297" s="2" t="s">
        <v>51</v>
      </c>
      <c r="E297" s="2" t="s">
        <v>22</v>
      </c>
      <c r="F297" s="2">
        <v>1277955380444250</v>
      </c>
      <c r="G297" s="2">
        <v>1.2024229057228E+17</v>
      </c>
      <c r="H297" s="2">
        <v>1.2024270613878E+17</v>
      </c>
      <c r="I297" s="2">
        <v>1.202427061388E+17</v>
      </c>
      <c r="J297" s="2" t="s">
        <v>52</v>
      </c>
      <c r="K297" s="4">
        <v>7805</v>
      </c>
      <c r="L297">
        <v>63</v>
      </c>
      <c r="M297">
        <v>1952.6</v>
      </c>
      <c r="N297">
        <f t="shared" si="12"/>
        <v>7025</v>
      </c>
      <c r="O297">
        <f t="shared" si="13"/>
        <v>3161</v>
      </c>
      <c r="P297" s="5">
        <f t="shared" si="14"/>
        <v>5151</v>
      </c>
      <c r="S297">
        <v>31</v>
      </c>
      <c r="T297">
        <v>3</v>
      </c>
    </row>
    <row r="298" spans="1:20" ht="15.75" thickBot="1" x14ac:dyDescent="0.3">
      <c r="A298" s="3">
        <v>46113</v>
      </c>
      <c r="B298" s="2" t="s">
        <v>19</v>
      </c>
      <c r="C298" s="2" t="s">
        <v>50</v>
      </c>
      <c r="D298" s="2" t="s">
        <v>53</v>
      </c>
      <c r="E298" s="2" t="s">
        <v>22</v>
      </c>
      <c r="F298" s="2">
        <v>1277955380444250</v>
      </c>
      <c r="G298" s="2">
        <v>1.2024229057228E+17</v>
      </c>
      <c r="H298" s="2">
        <v>1.2024270613878E+17</v>
      </c>
      <c r="I298" s="2">
        <v>1.2024270613881E+17</v>
      </c>
      <c r="J298" s="2" t="s">
        <v>23</v>
      </c>
      <c r="K298" s="4">
        <v>5743</v>
      </c>
      <c r="L298">
        <v>123</v>
      </c>
      <c r="M298">
        <v>1094.47</v>
      </c>
      <c r="N298">
        <f t="shared" si="12"/>
        <v>5169</v>
      </c>
      <c r="O298">
        <f t="shared" si="13"/>
        <v>2326</v>
      </c>
      <c r="P298" s="5">
        <f t="shared" si="14"/>
        <v>3790</v>
      </c>
      <c r="S298">
        <v>3503</v>
      </c>
      <c r="T298">
        <v>22</v>
      </c>
    </row>
    <row r="299" spans="1:20" ht="15.75" thickBot="1" x14ac:dyDescent="0.3">
      <c r="A299" s="3">
        <v>46113</v>
      </c>
      <c r="B299" s="2" t="s">
        <v>19</v>
      </c>
      <c r="C299" s="2" t="s">
        <v>50</v>
      </c>
      <c r="D299" s="2" t="s">
        <v>53</v>
      </c>
      <c r="E299" s="2" t="s">
        <v>22</v>
      </c>
      <c r="F299" s="2">
        <v>1277955380444250</v>
      </c>
      <c r="G299" s="2">
        <v>1.2024229057228E+17</v>
      </c>
      <c r="H299" s="2">
        <v>1.2024270613878E+17</v>
      </c>
      <c r="I299" s="2">
        <v>1.2024270613881E+17</v>
      </c>
      <c r="J299" s="2" t="s">
        <v>24</v>
      </c>
      <c r="K299" s="4">
        <v>6572</v>
      </c>
      <c r="L299">
        <v>783</v>
      </c>
      <c r="M299">
        <v>1487.08</v>
      </c>
      <c r="N299">
        <f t="shared" si="12"/>
        <v>5915</v>
      </c>
      <c r="O299">
        <f t="shared" si="13"/>
        <v>2662</v>
      </c>
      <c r="P299" s="5">
        <f t="shared" si="14"/>
        <v>4338</v>
      </c>
      <c r="S299">
        <v>41142</v>
      </c>
      <c r="T299">
        <v>189</v>
      </c>
    </row>
    <row r="300" spans="1:20" ht="15.75" thickBot="1" x14ac:dyDescent="0.3">
      <c r="A300" s="3">
        <v>46113</v>
      </c>
      <c r="B300" s="2" t="s">
        <v>19</v>
      </c>
      <c r="C300" s="2" t="s">
        <v>50</v>
      </c>
      <c r="D300" s="2" t="s">
        <v>53</v>
      </c>
      <c r="E300" s="2" t="s">
        <v>22</v>
      </c>
      <c r="F300" s="2">
        <v>1277955380444250</v>
      </c>
      <c r="G300" s="2">
        <v>1.2024229057228E+17</v>
      </c>
      <c r="H300" s="2">
        <v>1.2024270613878E+17</v>
      </c>
      <c r="I300" s="2">
        <v>1.2024270613881E+17</v>
      </c>
      <c r="J300" s="2" t="s">
        <v>36</v>
      </c>
      <c r="K300" s="4">
        <v>9898</v>
      </c>
      <c r="L300">
        <v>59</v>
      </c>
      <c r="M300">
        <v>1420.25</v>
      </c>
      <c r="N300">
        <f t="shared" si="12"/>
        <v>8908</v>
      </c>
      <c r="O300">
        <f t="shared" si="13"/>
        <v>4009</v>
      </c>
      <c r="P300" s="5">
        <f t="shared" si="14"/>
        <v>6533</v>
      </c>
      <c r="S300">
        <v>1</v>
      </c>
    </row>
    <row r="301" spans="1:20" ht="15.75" thickBot="1" x14ac:dyDescent="0.3">
      <c r="A301" s="3">
        <v>46113</v>
      </c>
      <c r="B301" s="2" t="s">
        <v>19</v>
      </c>
      <c r="C301" s="2" t="s">
        <v>50</v>
      </c>
      <c r="D301" s="2" t="s">
        <v>53</v>
      </c>
      <c r="E301" s="2" t="s">
        <v>22</v>
      </c>
      <c r="F301" s="2">
        <v>1277955380444250</v>
      </c>
      <c r="G301" s="2">
        <v>1.2024229057228E+17</v>
      </c>
      <c r="H301" s="2">
        <v>1.2024270613878E+17</v>
      </c>
      <c r="I301" s="2">
        <v>1.2024270613881E+17</v>
      </c>
      <c r="J301" s="2" t="s">
        <v>52</v>
      </c>
      <c r="K301" s="4">
        <v>9766</v>
      </c>
      <c r="L301">
        <v>75</v>
      </c>
      <c r="M301">
        <v>224.25</v>
      </c>
      <c r="N301">
        <f t="shared" si="12"/>
        <v>8789</v>
      </c>
      <c r="O301">
        <f t="shared" si="13"/>
        <v>3955</v>
      </c>
      <c r="P301" s="5">
        <f t="shared" si="14"/>
        <v>6446</v>
      </c>
      <c r="S301">
        <v>2653</v>
      </c>
      <c r="T301">
        <v>79</v>
      </c>
    </row>
    <row r="302" spans="1:20" ht="15.75" thickBot="1" x14ac:dyDescent="0.3">
      <c r="A302" s="3">
        <v>46113</v>
      </c>
      <c r="B302" s="2" t="s">
        <v>19</v>
      </c>
      <c r="C302" s="2" t="s">
        <v>50</v>
      </c>
      <c r="D302" s="2" t="s">
        <v>54</v>
      </c>
      <c r="E302" s="2" t="s">
        <v>22</v>
      </c>
      <c r="F302" s="2">
        <v>1277955380444250</v>
      </c>
      <c r="G302" s="2">
        <v>1.2024229057228E+17</v>
      </c>
      <c r="H302" s="2">
        <v>1.2024270613878E+17</v>
      </c>
      <c r="I302" s="2">
        <v>1.2024270623134E+17</v>
      </c>
      <c r="J302" s="2" t="s">
        <v>23</v>
      </c>
      <c r="K302" s="4">
        <v>8210</v>
      </c>
      <c r="L302">
        <v>179</v>
      </c>
      <c r="M302">
        <v>219.01</v>
      </c>
      <c r="N302">
        <f t="shared" si="12"/>
        <v>7389</v>
      </c>
      <c r="O302">
        <f t="shared" si="13"/>
        <v>3325</v>
      </c>
      <c r="P302" s="5">
        <f t="shared" si="14"/>
        <v>5419</v>
      </c>
      <c r="S302">
        <v>3825</v>
      </c>
      <c r="T302">
        <v>15</v>
      </c>
    </row>
    <row r="303" spans="1:20" ht="15.75" thickBot="1" x14ac:dyDescent="0.3">
      <c r="A303" s="3">
        <v>46113</v>
      </c>
      <c r="B303" s="2" t="s">
        <v>19</v>
      </c>
      <c r="C303" s="2" t="s">
        <v>50</v>
      </c>
      <c r="D303" s="2" t="s">
        <v>54</v>
      </c>
      <c r="E303" s="2" t="s">
        <v>22</v>
      </c>
      <c r="F303" s="2">
        <v>1277955380444250</v>
      </c>
      <c r="G303" s="2">
        <v>1.2024229057228E+17</v>
      </c>
      <c r="H303" s="2">
        <v>1.2024270613878E+17</v>
      </c>
      <c r="I303" s="2">
        <v>1.2024270623134E+17</v>
      </c>
      <c r="J303" s="2" t="s">
        <v>24</v>
      </c>
      <c r="K303" s="4">
        <v>7499</v>
      </c>
      <c r="L303">
        <v>803</v>
      </c>
      <c r="M303">
        <v>1892.57</v>
      </c>
      <c r="N303">
        <f t="shared" si="12"/>
        <v>6749</v>
      </c>
      <c r="O303">
        <f t="shared" si="13"/>
        <v>3037</v>
      </c>
      <c r="P303" s="5">
        <f t="shared" si="14"/>
        <v>4949</v>
      </c>
      <c r="S303">
        <v>113460</v>
      </c>
      <c r="T303">
        <v>484</v>
      </c>
    </row>
    <row r="304" spans="1:20" ht="15.75" thickBot="1" x14ac:dyDescent="0.3">
      <c r="A304" s="3">
        <v>46113</v>
      </c>
      <c r="B304" s="2" t="s">
        <v>19</v>
      </c>
      <c r="C304" s="2" t="s">
        <v>50</v>
      </c>
      <c r="D304" s="2" t="s">
        <v>54</v>
      </c>
      <c r="E304" s="2" t="s">
        <v>22</v>
      </c>
      <c r="F304" s="2">
        <v>1277955380444250</v>
      </c>
      <c r="G304" s="2">
        <v>1.2024229057228E+17</v>
      </c>
      <c r="H304" s="2">
        <v>1.2024270613878E+17</v>
      </c>
      <c r="I304" s="2">
        <v>1.2024270623134E+17</v>
      </c>
      <c r="J304" s="2" t="s">
        <v>52</v>
      </c>
      <c r="K304" s="4">
        <v>6839</v>
      </c>
      <c r="L304">
        <v>280</v>
      </c>
      <c r="M304">
        <v>1962.32</v>
      </c>
      <c r="N304">
        <f t="shared" si="12"/>
        <v>6155</v>
      </c>
      <c r="O304">
        <f t="shared" si="13"/>
        <v>2770</v>
      </c>
      <c r="P304" s="5">
        <f t="shared" si="14"/>
        <v>4514</v>
      </c>
      <c r="S304">
        <v>1153</v>
      </c>
      <c r="T304">
        <v>40</v>
      </c>
    </row>
    <row r="305" spans="1:16" ht="15.75" thickBot="1" x14ac:dyDescent="0.3">
      <c r="A305" s="3">
        <v>46113</v>
      </c>
      <c r="B305" s="2" t="s">
        <v>25</v>
      </c>
      <c r="C305" s="2" t="s">
        <v>26</v>
      </c>
      <c r="D305" s="2" t="s">
        <v>35</v>
      </c>
      <c r="E305" s="2" t="s">
        <v>22</v>
      </c>
      <c r="F305" s="2">
        <v>1277955380444250</v>
      </c>
      <c r="G305" s="2">
        <v>1.2024231584645E+17</v>
      </c>
      <c r="H305" s="2">
        <v>1.2024231618176E+17</v>
      </c>
      <c r="I305" s="2">
        <v>1.2024235726836E+17</v>
      </c>
      <c r="J305" s="2" t="s">
        <v>24</v>
      </c>
      <c r="K305" s="4">
        <v>7945</v>
      </c>
      <c r="L305">
        <v>453</v>
      </c>
      <c r="M305">
        <v>805.86</v>
      </c>
      <c r="N305">
        <f t="shared" si="12"/>
        <v>7151</v>
      </c>
      <c r="O305">
        <f t="shared" si="13"/>
        <v>3218</v>
      </c>
      <c r="P305" s="5">
        <f t="shared" si="14"/>
        <v>5244</v>
      </c>
    </row>
    <row r="306" spans="1:16" ht="15.75" thickBot="1" x14ac:dyDescent="0.3">
      <c r="A306" s="3">
        <v>46113</v>
      </c>
      <c r="B306" s="2" t="s">
        <v>25</v>
      </c>
      <c r="C306" s="2" t="s">
        <v>40</v>
      </c>
      <c r="D306" s="2" t="s">
        <v>64</v>
      </c>
      <c r="E306" s="2" t="s">
        <v>22</v>
      </c>
      <c r="F306" s="2">
        <v>1277955380444250</v>
      </c>
      <c r="G306" s="2">
        <v>1.2024231584645E+17</v>
      </c>
      <c r="H306" s="2">
        <v>1.2024246508913E+17</v>
      </c>
      <c r="I306" s="2">
        <v>1.2024297553794E+17</v>
      </c>
      <c r="J306" s="2" t="s">
        <v>23</v>
      </c>
      <c r="K306" s="4">
        <v>5959</v>
      </c>
      <c r="L306">
        <v>296</v>
      </c>
      <c r="M306">
        <v>906.09</v>
      </c>
      <c r="N306">
        <f t="shared" si="12"/>
        <v>5363</v>
      </c>
      <c r="O306">
        <f t="shared" si="13"/>
        <v>2413</v>
      </c>
      <c r="P306" s="5">
        <f t="shared" si="14"/>
        <v>3933</v>
      </c>
    </row>
    <row r="307" spans="1:16" ht="15.75" thickBot="1" x14ac:dyDescent="0.3">
      <c r="A307" s="3">
        <v>46113</v>
      </c>
      <c r="B307" s="2" t="s">
        <v>25</v>
      </c>
      <c r="C307" s="2" t="s">
        <v>40</v>
      </c>
      <c r="D307" s="2" t="s">
        <v>64</v>
      </c>
      <c r="E307" s="2" t="s">
        <v>22</v>
      </c>
      <c r="F307" s="2">
        <v>1277955380444250</v>
      </c>
      <c r="G307" s="2">
        <v>1.2024231584645E+17</v>
      </c>
      <c r="H307" s="2">
        <v>1.2024246508913E+17</v>
      </c>
      <c r="I307" s="2">
        <v>1.2024297553794E+17</v>
      </c>
      <c r="J307" s="2" t="s">
        <v>24</v>
      </c>
      <c r="K307" s="4">
        <v>2481</v>
      </c>
      <c r="L307">
        <v>737</v>
      </c>
      <c r="M307">
        <v>636.76</v>
      </c>
      <c r="N307">
        <f t="shared" si="12"/>
        <v>2233</v>
      </c>
      <c r="O307">
        <f t="shared" si="13"/>
        <v>1005</v>
      </c>
      <c r="P307" s="5">
        <f t="shared" si="14"/>
        <v>1637</v>
      </c>
    </row>
    <row r="308" spans="1:16" ht="15.75" thickBot="1" x14ac:dyDescent="0.3">
      <c r="A308" s="3">
        <v>46113</v>
      </c>
      <c r="B308" s="2" t="s">
        <v>25</v>
      </c>
      <c r="C308" s="2" t="s">
        <v>40</v>
      </c>
      <c r="D308" s="2" t="s">
        <v>61</v>
      </c>
      <c r="E308" s="2" t="s">
        <v>22</v>
      </c>
      <c r="F308" s="2">
        <v>1277955380444250</v>
      </c>
      <c r="G308" s="2">
        <v>1.2024231584645E+17</v>
      </c>
      <c r="H308" s="2">
        <v>1.2024246508913E+17</v>
      </c>
      <c r="I308" s="2">
        <v>1.2024294401448E+17</v>
      </c>
      <c r="J308" s="2" t="s">
        <v>23</v>
      </c>
      <c r="K308" s="4">
        <v>2604</v>
      </c>
      <c r="L308">
        <v>141</v>
      </c>
      <c r="M308">
        <v>1545.06</v>
      </c>
      <c r="N308">
        <f t="shared" si="12"/>
        <v>2344</v>
      </c>
      <c r="O308">
        <f t="shared" si="13"/>
        <v>1055</v>
      </c>
      <c r="P308" s="5">
        <f t="shared" si="14"/>
        <v>1719</v>
      </c>
    </row>
    <row r="309" spans="1:16" ht="15.75" thickBot="1" x14ac:dyDescent="0.3">
      <c r="A309" s="3">
        <v>46113</v>
      </c>
      <c r="B309" s="2" t="s">
        <v>25</v>
      </c>
      <c r="C309" s="2" t="s">
        <v>40</v>
      </c>
      <c r="D309" s="2" t="s">
        <v>61</v>
      </c>
      <c r="E309" s="2" t="s">
        <v>22</v>
      </c>
      <c r="F309" s="2">
        <v>1277955380444250</v>
      </c>
      <c r="G309" s="2">
        <v>1.2024231584645E+17</v>
      </c>
      <c r="H309" s="2">
        <v>1.2024246508913E+17</v>
      </c>
      <c r="I309" s="2">
        <v>1.2024294401448E+17</v>
      </c>
      <c r="J309" s="2" t="s">
        <v>24</v>
      </c>
      <c r="K309" s="4">
        <v>1120</v>
      </c>
      <c r="L309">
        <v>733</v>
      </c>
      <c r="M309">
        <v>1693.89</v>
      </c>
      <c r="N309">
        <f t="shared" si="12"/>
        <v>1008</v>
      </c>
      <c r="O309">
        <f t="shared" si="13"/>
        <v>454</v>
      </c>
      <c r="P309" s="5">
        <f t="shared" si="14"/>
        <v>739</v>
      </c>
    </row>
    <row r="310" spans="1:16" ht="15.75" thickBot="1" x14ac:dyDescent="0.3">
      <c r="A310" s="3">
        <v>46113</v>
      </c>
      <c r="B310" s="2" t="s">
        <v>25</v>
      </c>
      <c r="C310" s="2" t="s">
        <v>28</v>
      </c>
      <c r="D310" s="2" t="s">
        <v>65</v>
      </c>
      <c r="E310" s="2" t="s">
        <v>22</v>
      </c>
      <c r="F310" s="2">
        <v>1277955380444250</v>
      </c>
      <c r="G310" s="2">
        <v>1.2024231584645E+17</v>
      </c>
      <c r="H310" s="2">
        <v>1.2024231613167E+17</v>
      </c>
      <c r="I310" s="2">
        <v>1.2024294474555E+17</v>
      </c>
      <c r="J310" s="2" t="s">
        <v>23</v>
      </c>
      <c r="K310" s="4">
        <v>8375</v>
      </c>
      <c r="L310">
        <v>364</v>
      </c>
      <c r="M310">
        <v>960.81</v>
      </c>
      <c r="N310">
        <f t="shared" si="12"/>
        <v>7538</v>
      </c>
      <c r="O310">
        <f t="shared" si="13"/>
        <v>3392</v>
      </c>
      <c r="P310" s="5">
        <f t="shared" si="14"/>
        <v>5528</v>
      </c>
    </row>
    <row r="311" spans="1:16" ht="15.75" thickBot="1" x14ac:dyDescent="0.3">
      <c r="A311" s="3">
        <v>46113</v>
      </c>
      <c r="B311" s="2" t="s">
        <v>25</v>
      </c>
      <c r="C311" s="2" t="s">
        <v>28</v>
      </c>
      <c r="D311" s="2" t="s">
        <v>65</v>
      </c>
      <c r="E311" s="2" t="s">
        <v>22</v>
      </c>
      <c r="F311" s="2">
        <v>1277955380444250</v>
      </c>
      <c r="G311" s="2">
        <v>1.2024231584645E+17</v>
      </c>
      <c r="H311" s="2">
        <v>1.2024231613167E+17</v>
      </c>
      <c r="I311" s="2">
        <v>1.2024294474555E+17</v>
      </c>
      <c r="J311" s="2" t="s">
        <v>24</v>
      </c>
      <c r="K311" s="4">
        <v>9843</v>
      </c>
      <c r="L311">
        <v>498</v>
      </c>
      <c r="M311">
        <v>1530.53</v>
      </c>
      <c r="N311">
        <f t="shared" si="12"/>
        <v>8859</v>
      </c>
      <c r="O311">
        <f t="shared" si="13"/>
        <v>3987</v>
      </c>
      <c r="P311" s="5">
        <f t="shared" si="14"/>
        <v>6496</v>
      </c>
    </row>
    <row r="312" spans="1:16" ht="15.75" thickBot="1" x14ac:dyDescent="0.3">
      <c r="A312" s="3">
        <v>46113</v>
      </c>
      <c r="B312" s="2" t="s">
        <v>25</v>
      </c>
      <c r="C312" s="2" t="s">
        <v>30</v>
      </c>
      <c r="D312" s="2" t="s">
        <v>66</v>
      </c>
      <c r="E312" s="2" t="s">
        <v>22</v>
      </c>
      <c r="F312" s="2">
        <v>1277955380444250</v>
      </c>
      <c r="G312" s="2">
        <v>1.2024231584645E+17</v>
      </c>
      <c r="H312" s="2">
        <v>1.2024231592817E+17</v>
      </c>
      <c r="I312" s="2">
        <v>1.2024297479832E+17</v>
      </c>
      <c r="J312" s="2" t="s">
        <v>23</v>
      </c>
      <c r="K312" s="4">
        <v>9273</v>
      </c>
      <c r="L312">
        <v>487</v>
      </c>
      <c r="M312">
        <v>876.64</v>
      </c>
      <c r="N312">
        <f t="shared" si="12"/>
        <v>8346</v>
      </c>
      <c r="O312">
        <f t="shared" si="13"/>
        <v>3756</v>
      </c>
      <c r="P312" s="5">
        <f t="shared" si="14"/>
        <v>6120</v>
      </c>
    </row>
    <row r="313" spans="1:16" ht="15.75" thickBot="1" x14ac:dyDescent="0.3">
      <c r="A313" s="3">
        <v>46113</v>
      </c>
      <c r="B313" s="2" t="s">
        <v>25</v>
      </c>
      <c r="C313" s="2" t="s">
        <v>30</v>
      </c>
      <c r="D313" s="2" t="s">
        <v>66</v>
      </c>
      <c r="E313" s="2" t="s">
        <v>22</v>
      </c>
      <c r="F313" s="2">
        <v>1277955380444250</v>
      </c>
      <c r="G313" s="2">
        <v>1.2024231584645E+17</v>
      </c>
      <c r="H313" s="2">
        <v>1.2024231592817E+17</v>
      </c>
      <c r="I313" s="2">
        <v>1.2024297479832E+17</v>
      </c>
      <c r="J313" s="2" t="s">
        <v>24</v>
      </c>
      <c r="K313" s="4">
        <v>3743</v>
      </c>
      <c r="L313">
        <v>574</v>
      </c>
      <c r="M313">
        <v>893.19</v>
      </c>
      <c r="N313">
        <f t="shared" si="12"/>
        <v>3369</v>
      </c>
      <c r="O313">
        <f t="shared" si="13"/>
        <v>1516</v>
      </c>
      <c r="P313" s="5">
        <f t="shared" si="14"/>
        <v>2470</v>
      </c>
    </row>
    <row r="314" spans="1:16" ht="15.75" thickBot="1" x14ac:dyDescent="0.3">
      <c r="A314" s="3">
        <v>46113</v>
      </c>
      <c r="B314" s="2" t="s">
        <v>25</v>
      </c>
      <c r="C314" s="2" t="s">
        <v>32</v>
      </c>
      <c r="D314" s="2" t="s">
        <v>67</v>
      </c>
      <c r="E314" s="2" t="s">
        <v>22</v>
      </c>
      <c r="F314" s="2">
        <v>1277955380444250</v>
      </c>
      <c r="G314" s="2">
        <v>1.2024231584645E+17</v>
      </c>
      <c r="H314" s="2">
        <v>1.2024231584646E+17</v>
      </c>
      <c r="I314" s="2">
        <v>1.2024294450961E+17</v>
      </c>
      <c r="J314" s="2" t="s">
        <v>23</v>
      </c>
      <c r="K314" s="4">
        <v>8454</v>
      </c>
      <c r="L314">
        <v>898</v>
      </c>
      <c r="M314">
        <v>990.17</v>
      </c>
      <c r="N314">
        <f t="shared" si="12"/>
        <v>7609</v>
      </c>
      <c r="O314">
        <f t="shared" si="13"/>
        <v>3424</v>
      </c>
      <c r="P314" s="5">
        <f t="shared" si="14"/>
        <v>5580</v>
      </c>
    </row>
    <row r="315" spans="1:16" ht="15.75" thickBot="1" x14ac:dyDescent="0.3">
      <c r="A315" s="3">
        <v>46113</v>
      </c>
      <c r="B315" s="2" t="s">
        <v>25</v>
      </c>
      <c r="C315" s="2" t="s">
        <v>32</v>
      </c>
      <c r="D315" s="2" t="s">
        <v>67</v>
      </c>
      <c r="E315" s="2" t="s">
        <v>22</v>
      </c>
      <c r="F315" s="2">
        <v>1277955380444250</v>
      </c>
      <c r="G315" s="2">
        <v>1.2024231584645E+17</v>
      </c>
      <c r="H315" s="2">
        <v>1.2024231584646E+17</v>
      </c>
      <c r="I315" s="2">
        <v>1.2024294450961E+17</v>
      </c>
      <c r="J315" s="2" t="s">
        <v>24</v>
      </c>
      <c r="K315" s="4">
        <v>9235</v>
      </c>
      <c r="L315">
        <v>696</v>
      </c>
      <c r="M315">
        <v>704.41</v>
      </c>
      <c r="N315">
        <f t="shared" si="12"/>
        <v>8312</v>
      </c>
      <c r="O315">
        <f t="shared" si="13"/>
        <v>3740</v>
      </c>
      <c r="P315" s="5">
        <f t="shared" si="14"/>
        <v>6095</v>
      </c>
    </row>
    <row r="316" spans="1:16" ht="15.75" thickBot="1" x14ac:dyDescent="0.3">
      <c r="A316" s="3">
        <v>46113</v>
      </c>
      <c r="B316" s="2" t="s">
        <v>56</v>
      </c>
      <c r="C316" s="2" t="s">
        <v>57</v>
      </c>
      <c r="D316" s="2" t="s">
        <v>62</v>
      </c>
      <c r="E316" s="2" t="s">
        <v>22</v>
      </c>
      <c r="F316" s="2">
        <v>1277955380444250</v>
      </c>
      <c r="G316" s="2">
        <v>1.2024270854698E+17</v>
      </c>
      <c r="H316" s="2">
        <v>1.2024270854697E+17</v>
      </c>
      <c r="I316" s="2">
        <v>1.2024294320387E+17</v>
      </c>
      <c r="J316" s="2" t="s">
        <v>23</v>
      </c>
      <c r="K316" s="4">
        <v>3409</v>
      </c>
      <c r="L316">
        <v>973</v>
      </c>
      <c r="M316">
        <v>1833.79</v>
      </c>
      <c r="N316">
        <f t="shared" si="12"/>
        <v>3068</v>
      </c>
      <c r="O316">
        <f t="shared" si="13"/>
        <v>1381</v>
      </c>
      <c r="P316" s="5">
        <f t="shared" si="14"/>
        <v>2250</v>
      </c>
    </row>
    <row r="317" spans="1:16" ht="15.75" thickBot="1" x14ac:dyDescent="0.3">
      <c r="A317" s="3">
        <v>46113</v>
      </c>
      <c r="B317" s="2" t="s">
        <v>56</v>
      </c>
      <c r="C317" s="2" t="s">
        <v>57</v>
      </c>
      <c r="D317" s="2" t="s">
        <v>62</v>
      </c>
      <c r="E317" s="2" t="s">
        <v>22</v>
      </c>
      <c r="F317" s="2">
        <v>1277955380444250</v>
      </c>
      <c r="G317" s="2">
        <v>1.2024270854698E+17</v>
      </c>
      <c r="H317" s="2">
        <v>1.2024270854697E+17</v>
      </c>
      <c r="I317" s="2">
        <v>1.2024294320387E+17</v>
      </c>
      <c r="J317" s="2" t="s">
        <v>24</v>
      </c>
      <c r="K317" s="4">
        <v>9621</v>
      </c>
      <c r="L317">
        <v>212</v>
      </c>
      <c r="M317">
        <v>151.53</v>
      </c>
      <c r="N317">
        <f t="shared" si="12"/>
        <v>8659</v>
      </c>
      <c r="O317">
        <f t="shared" si="13"/>
        <v>3897</v>
      </c>
      <c r="P317" s="5">
        <f t="shared" si="14"/>
        <v>6350</v>
      </c>
    </row>
    <row r="318" spans="1:16" ht="15.75" thickBot="1" x14ac:dyDescent="0.3">
      <c r="A318" s="3">
        <v>46113</v>
      </c>
      <c r="B318" s="2" t="s">
        <v>56</v>
      </c>
      <c r="C318" s="2" t="s">
        <v>57</v>
      </c>
      <c r="D318" s="2" t="s">
        <v>63</v>
      </c>
      <c r="E318" s="2" t="s">
        <v>22</v>
      </c>
      <c r="F318" s="2">
        <v>1277955380444250</v>
      </c>
      <c r="G318" s="2">
        <v>1.2024270854698E+17</v>
      </c>
      <c r="H318" s="2">
        <v>1.2024270854697E+17</v>
      </c>
      <c r="I318" s="2">
        <v>1.2024294325528E+17</v>
      </c>
      <c r="J318" s="2" t="s">
        <v>23</v>
      </c>
      <c r="K318" s="4">
        <v>1262</v>
      </c>
      <c r="L318">
        <v>355</v>
      </c>
      <c r="M318">
        <v>1247.71</v>
      </c>
      <c r="N318">
        <f t="shared" si="12"/>
        <v>1136</v>
      </c>
      <c r="O318">
        <f t="shared" si="13"/>
        <v>511</v>
      </c>
      <c r="P318" s="5">
        <f t="shared" si="14"/>
        <v>833</v>
      </c>
    </row>
    <row r="319" spans="1:16" ht="15.75" thickBot="1" x14ac:dyDescent="0.3">
      <c r="A319" s="3">
        <v>46113</v>
      </c>
      <c r="B319" s="2" t="s">
        <v>56</v>
      </c>
      <c r="C319" s="2" t="s">
        <v>57</v>
      </c>
      <c r="D319" s="2" t="s">
        <v>63</v>
      </c>
      <c r="E319" s="2" t="s">
        <v>22</v>
      </c>
      <c r="F319" s="2">
        <v>1277955380444250</v>
      </c>
      <c r="G319" s="2">
        <v>1.2024270854698E+17</v>
      </c>
      <c r="H319" s="2">
        <v>1.2024270854697E+17</v>
      </c>
      <c r="I319" s="2">
        <v>1.2024294325528E+17</v>
      </c>
      <c r="J319" s="2" t="s">
        <v>24</v>
      </c>
      <c r="K319" s="4">
        <v>5027</v>
      </c>
      <c r="L319">
        <v>606</v>
      </c>
      <c r="M319">
        <v>398.09</v>
      </c>
      <c r="N319">
        <f t="shared" si="12"/>
        <v>4524</v>
      </c>
      <c r="O319">
        <f t="shared" si="13"/>
        <v>2036</v>
      </c>
      <c r="P319" s="5">
        <f t="shared" si="14"/>
        <v>3318</v>
      </c>
    </row>
    <row r="320" spans="1:16" ht="15.75" thickBot="1" x14ac:dyDescent="0.3">
      <c r="A320" s="3">
        <v>46113</v>
      </c>
      <c r="B320" s="2" t="s">
        <v>56</v>
      </c>
      <c r="C320" s="2" t="s">
        <v>57</v>
      </c>
      <c r="D320" s="2" t="s">
        <v>63</v>
      </c>
      <c r="E320" s="2" t="s">
        <v>22</v>
      </c>
      <c r="F320" s="2">
        <v>1277955380444250</v>
      </c>
      <c r="G320" s="2">
        <v>1.2024270854698E+17</v>
      </c>
      <c r="H320" s="2">
        <v>1.2024270854697E+17</v>
      </c>
      <c r="I320" s="2">
        <v>1.2024294325528E+17</v>
      </c>
      <c r="J320" s="2" t="s">
        <v>46</v>
      </c>
      <c r="K320" s="4">
        <v>5798</v>
      </c>
      <c r="L320">
        <v>819</v>
      </c>
      <c r="M320">
        <v>1236.82</v>
      </c>
      <c r="N320">
        <f t="shared" si="12"/>
        <v>5218</v>
      </c>
      <c r="O320">
        <f t="shared" si="13"/>
        <v>2348</v>
      </c>
      <c r="P320" s="5">
        <f t="shared" si="14"/>
        <v>3827</v>
      </c>
    </row>
    <row r="321" spans="1:20" ht="15.75" thickBot="1" x14ac:dyDescent="0.3">
      <c r="A321" s="3">
        <v>46114</v>
      </c>
      <c r="B321" s="2" t="s">
        <v>47</v>
      </c>
      <c r="C321" s="2" t="s">
        <v>48</v>
      </c>
      <c r="D321" s="2" t="s">
        <v>59</v>
      </c>
      <c r="E321" s="2" t="s">
        <v>22</v>
      </c>
      <c r="F321" s="2">
        <v>1277955380444250</v>
      </c>
      <c r="G321" s="2">
        <v>1.2024261720294E+17</v>
      </c>
      <c r="H321" s="2">
        <v>1.2024261720296E+17</v>
      </c>
      <c r="I321" s="2">
        <v>1.2024292230769E+17</v>
      </c>
      <c r="J321" s="2" t="s">
        <v>23</v>
      </c>
      <c r="K321" s="4">
        <v>4325</v>
      </c>
      <c r="L321">
        <v>317</v>
      </c>
      <c r="M321">
        <v>439.16</v>
      </c>
      <c r="N321">
        <f t="shared" si="12"/>
        <v>3893</v>
      </c>
      <c r="O321">
        <f t="shared" si="13"/>
        <v>1752</v>
      </c>
      <c r="P321" s="5">
        <f t="shared" si="14"/>
        <v>2855</v>
      </c>
      <c r="R321">
        <v>2</v>
      </c>
      <c r="S321">
        <v>5</v>
      </c>
    </row>
    <row r="322" spans="1:20" ht="15.75" thickBot="1" x14ac:dyDescent="0.3">
      <c r="A322" s="3">
        <v>46114</v>
      </c>
      <c r="B322" s="2" t="s">
        <v>47</v>
      </c>
      <c r="C322" s="2" t="s">
        <v>48</v>
      </c>
      <c r="D322" s="2" t="s">
        <v>59</v>
      </c>
      <c r="E322" s="2" t="s">
        <v>22</v>
      </c>
      <c r="F322" s="2">
        <v>1277955380444250</v>
      </c>
      <c r="G322" s="2">
        <v>1.2024261720294E+17</v>
      </c>
      <c r="H322" s="2">
        <v>1.2024261720296E+17</v>
      </c>
      <c r="I322" s="2">
        <v>1.2024292230769E+17</v>
      </c>
      <c r="J322" s="2" t="s">
        <v>24</v>
      </c>
      <c r="K322" s="4">
        <v>5856</v>
      </c>
      <c r="L322">
        <v>286</v>
      </c>
      <c r="M322">
        <v>1721.13</v>
      </c>
      <c r="N322">
        <f t="shared" si="12"/>
        <v>5270</v>
      </c>
      <c r="O322">
        <f t="shared" si="13"/>
        <v>2372</v>
      </c>
      <c r="P322" s="5">
        <f t="shared" si="14"/>
        <v>3865</v>
      </c>
      <c r="R322">
        <v>65</v>
      </c>
      <c r="S322">
        <v>94</v>
      </c>
      <c r="T322">
        <v>42</v>
      </c>
    </row>
    <row r="323" spans="1:20" ht="15.75" thickBot="1" x14ac:dyDescent="0.3">
      <c r="A323" s="3">
        <v>46114</v>
      </c>
      <c r="B323" s="2" t="s">
        <v>47</v>
      </c>
      <c r="C323" s="2" t="s">
        <v>48</v>
      </c>
      <c r="D323" s="2" t="s">
        <v>49</v>
      </c>
      <c r="E323" s="2" t="s">
        <v>22</v>
      </c>
      <c r="F323" s="2">
        <v>1277955380444250</v>
      </c>
      <c r="G323" s="2">
        <v>1.2024261720294E+17</v>
      </c>
      <c r="H323" s="2">
        <v>1.2024261720296E+17</v>
      </c>
      <c r="I323" s="2">
        <v>1.2024261720295E+17</v>
      </c>
      <c r="J323" s="2" t="s">
        <v>23</v>
      </c>
      <c r="K323" s="4">
        <v>7152</v>
      </c>
      <c r="L323">
        <v>916</v>
      </c>
      <c r="M323">
        <v>291.5</v>
      </c>
      <c r="N323">
        <f t="shared" ref="N323:N386" si="15">ROUND(K323*0.9,0)</f>
        <v>6437</v>
      </c>
      <c r="O323">
        <f t="shared" ref="O323:O386" si="16">ROUND(N323*0.45,0)</f>
        <v>2897</v>
      </c>
      <c r="P323" s="5">
        <f t="shared" ref="P323:P386" si="17">ROUND(K323*0.66,0)</f>
        <v>4720</v>
      </c>
      <c r="R323">
        <v>12</v>
      </c>
      <c r="S323">
        <v>246</v>
      </c>
      <c r="T323">
        <v>17</v>
      </c>
    </row>
    <row r="324" spans="1:20" ht="15.75" thickBot="1" x14ac:dyDescent="0.3">
      <c r="A324" s="3">
        <v>46114</v>
      </c>
      <c r="B324" s="2" t="s">
        <v>47</v>
      </c>
      <c r="C324" s="2" t="s">
        <v>48</v>
      </c>
      <c r="D324" s="2" t="s">
        <v>49</v>
      </c>
      <c r="E324" s="2" t="s">
        <v>22</v>
      </c>
      <c r="F324" s="2">
        <v>1277955380444250</v>
      </c>
      <c r="G324" s="2">
        <v>1.2024261720294E+17</v>
      </c>
      <c r="H324" s="2">
        <v>1.2024261720296E+17</v>
      </c>
      <c r="I324" s="2">
        <v>1.2024261720295E+17</v>
      </c>
      <c r="J324" s="2" t="s">
        <v>24</v>
      </c>
      <c r="K324" s="4">
        <v>5687</v>
      </c>
      <c r="L324">
        <v>417</v>
      </c>
      <c r="M324">
        <v>1545.46</v>
      </c>
      <c r="N324">
        <f t="shared" si="15"/>
        <v>5118</v>
      </c>
      <c r="O324">
        <f t="shared" si="16"/>
        <v>2303</v>
      </c>
      <c r="P324" s="5">
        <f t="shared" si="17"/>
        <v>3753</v>
      </c>
      <c r="R324">
        <v>15403</v>
      </c>
      <c r="S324">
        <v>22569</v>
      </c>
      <c r="T324">
        <v>4154</v>
      </c>
    </row>
    <row r="325" spans="1:20" ht="15.75" thickBot="1" x14ac:dyDescent="0.3">
      <c r="A325" s="3">
        <v>46114</v>
      </c>
      <c r="B325" s="2" t="s">
        <v>47</v>
      </c>
      <c r="C325" s="2" t="s">
        <v>48</v>
      </c>
      <c r="D325" s="2" t="s">
        <v>60</v>
      </c>
      <c r="E325" s="2" t="s">
        <v>22</v>
      </c>
      <c r="F325" s="2">
        <v>1277955380444250</v>
      </c>
      <c r="G325" s="2">
        <v>1.2024261720294E+17</v>
      </c>
      <c r="H325" s="2">
        <v>1.2024261720296E+17</v>
      </c>
      <c r="I325" s="2">
        <v>1.2024292195261E+17</v>
      </c>
      <c r="J325" s="2" t="s">
        <v>23</v>
      </c>
      <c r="K325" s="4">
        <v>8278</v>
      </c>
      <c r="L325">
        <v>241</v>
      </c>
      <c r="M325">
        <v>1105.92</v>
      </c>
      <c r="N325">
        <f t="shared" si="15"/>
        <v>7450</v>
      </c>
      <c r="O325">
        <f t="shared" si="16"/>
        <v>3353</v>
      </c>
      <c r="P325" s="5">
        <f t="shared" si="17"/>
        <v>5463</v>
      </c>
      <c r="R325">
        <v>51979</v>
      </c>
      <c r="S325">
        <v>147202</v>
      </c>
      <c r="T325">
        <v>21843</v>
      </c>
    </row>
    <row r="326" spans="1:20" ht="15.75" thickBot="1" x14ac:dyDescent="0.3">
      <c r="A326" s="3">
        <v>46114</v>
      </c>
      <c r="B326" s="2" t="s">
        <v>47</v>
      </c>
      <c r="C326" s="2" t="s">
        <v>48</v>
      </c>
      <c r="D326" s="2" t="s">
        <v>60</v>
      </c>
      <c r="E326" s="2" t="s">
        <v>22</v>
      </c>
      <c r="F326" s="2">
        <v>1277955380444250</v>
      </c>
      <c r="G326" s="2">
        <v>1.2024261720294E+17</v>
      </c>
      <c r="H326" s="2">
        <v>1.2024261720296E+17</v>
      </c>
      <c r="I326" s="2">
        <v>1.2024292195261E+17</v>
      </c>
      <c r="J326" s="2" t="s">
        <v>24</v>
      </c>
      <c r="K326" s="4">
        <v>1962</v>
      </c>
      <c r="L326">
        <v>886</v>
      </c>
      <c r="M326">
        <v>1214.02</v>
      </c>
      <c r="N326">
        <f t="shared" si="15"/>
        <v>1766</v>
      </c>
      <c r="O326">
        <f t="shared" si="16"/>
        <v>795</v>
      </c>
      <c r="P326" s="5">
        <f t="shared" si="17"/>
        <v>1295</v>
      </c>
      <c r="R326">
        <v>1411741</v>
      </c>
      <c r="S326">
        <v>3837926</v>
      </c>
      <c r="T326">
        <v>924581</v>
      </c>
    </row>
    <row r="327" spans="1:20" ht="15.75" thickBot="1" x14ac:dyDescent="0.3">
      <c r="A327" s="3">
        <v>46114</v>
      </c>
      <c r="B327" s="2" t="s">
        <v>19</v>
      </c>
      <c r="C327" s="2" t="s">
        <v>20</v>
      </c>
      <c r="D327" s="2" t="s">
        <v>21</v>
      </c>
      <c r="E327" s="2" t="s">
        <v>22</v>
      </c>
      <c r="F327" s="2">
        <v>1277955380444250</v>
      </c>
      <c r="G327" s="2">
        <v>1.2024229057228E+17</v>
      </c>
      <c r="H327" s="2">
        <v>1.2024229057229E+17</v>
      </c>
      <c r="I327" s="2">
        <v>1.2024229057227E+17</v>
      </c>
      <c r="J327" s="2" t="s">
        <v>23</v>
      </c>
      <c r="K327" s="4">
        <v>8451</v>
      </c>
      <c r="L327">
        <v>274</v>
      </c>
      <c r="M327">
        <v>300.45999999999998</v>
      </c>
      <c r="N327">
        <f t="shared" si="15"/>
        <v>7606</v>
      </c>
      <c r="O327">
        <f t="shared" si="16"/>
        <v>3423</v>
      </c>
      <c r="P327" s="5">
        <f t="shared" si="17"/>
        <v>5578</v>
      </c>
      <c r="S327">
        <v>817</v>
      </c>
      <c r="T327">
        <v>17</v>
      </c>
    </row>
    <row r="328" spans="1:20" ht="15.75" thickBot="1" x14ac:dyDescent="0.3">
      <c r="A328" s="3">
        <v>46114</v>
      </c>
      <c r="B328" s="2" t="s">
        <v>19</v>
      </c>
      <c r="C328" s="2" t="s">
        <v>20</v>
      </c>
      <c r="D328" s="2" t="s">
        <v>21</v>
      </c>
      <c r="E328" s="2" t="s">
        <v>22</v>
      </c>
      <c r="F328" s="2">
        <v>1277955380444250</v>
      </c>
      <c r="G328" s="2">
        <v>1.2024229057228E+17</v>
      </c>
      <c r="H328" s="2">
        <v>1.2024229057229E+17</v>
      </c>
      <c r="I328" s="2">
        <v>1.2024229057227E+17</v>
      </c>
      <c r="J328" s="2" t="s">
        <v>24</v>
      </c>
      <c r="K328" s="4">
        <v>1944</v>
      </c>
      <c r="L328">
        <v>407</v>
      </c>
      <c r="M328">
        <v>1417.2</v>
      </c>
      <c r="N328">
        <f t="shared" si="15"/>
        <v>1750</v>
      </c>
      <c r="O328">
        <f t="shared" si="16"/>
        <v>788</v>
      </c>
      <c r="P328" s="5">
        <f t="shared" si="17"/>
        <v>1283</v>
      </c>
      <c r="S328">
        <v>62913</v>
      </c>
      <c r="T328">
        <v>242</v>
      </c>
    </row>
    <row r="329" spans="1:20" ht="15.75" thickBot="1" x14ac:dyDescent="0.3">
      <c r="A329" s="3">
        <v>46114</v>
      </c>
      <c r="B329" s="2" t="s">
        <v>19</v>
      </c>
      <c r="C329" s="2" t="s">
        <v>20</v>
      </c>
      <c r="D329" s="2" t="s">
        <v>34</v>
      </c>
      <c r="E329" s="2" t="s">
        <v>22</v>
      </c>
      <c r="F329" s="2">
        <v>1277955380444250</v>
      </c>
      <c r="G329" s="2">
        <v>1.2024229057228E+17</v>
      </c>
      <c r="H329" s="2">
        <v>1.2024229057229E+17</v>
      </c>
      <c r="I329" s="2">
        <v>1.2024229334046E+17</v>
      </c>
      <c r="J329" s="2" t="s">
        <v>23</v>
      </c>
      <c r="K329" s="4">
        <v>6200</v>
      </c>
      <c r="L329">
        <v>225</v>
      </c>
      <c r="M329">
        <v>448.48</v>
      </c>
      <c r="N329">
        <f t="shared" si="15"/>
        <v>5580</v>
      </c>
      <c r="O329">
        <f t="shared" si="16"/>
        <v>2511</v>
      </c>
      <c r="P329" s="5">
        <f t="shared" si="17"/>
        <v>4092</v>
      </c>
      <c r="S329">
        <v>459</v>
      </c>
      <c r="T329">
        <v>1</v>
      </c>
    </row>
    <row r="330" spans="1:20" ht="15.75" thickBot="1" x14ac:dyDescent="0.3">
      <c r="A330" s="3">
        <v>46114</v>
      </c>
      <c r="B330" s="2" t="s">
        <v>19</v>
      </c>
      <c r="C330" s="2" t="s">
        <v>20</v>
      </c>
      <c r="D330" s="2" t="s">
        <v>34</v>
      </c>
      <c r="E330" s="2" t="s">
        <v>22</v>
      </c>
      <c r="F330" s="2">
        <v>1277955380444250</v>
      </c>
      <c r="G330" s="2">
        <v>1.2024229057228E+17</v>
      </c>
      <c r="H330" s="2">
        <v>1.2024229057229E+17</v>
      </c>
      <c r="I330" s="2">
        <v>1.2024229334046E+17</v>
      </c>
      <c r="J330" s="2" t="s">
        <v>24</v>
      </c>
      <c r="K330" s="4">
        <v>3113</v>
      </c>
      <c r="L330">
        <v>186</v>
      </c>
      <c r="M330">
        <v>579.20000000000005</v>
      </c>
      <c r="N330">
        <f t="shared" si="15"/>
        <v>2802</v>
      </c>
      <c r="O330">
        <f t="shared" si="16"/>
        <v>1261</v>
      </c>
      <c r="P330" s="5">
        <f t="shared" si="17"/>
        <v>2055</v>
      </c>
      <c r="S330">
        <v>135451</v>
      </c>
      <c r="T330">
        <v>590</v>
      </c>
    </row>
    <row r="331" spans="1:20" ht="15.75" thickBot="1" x14ac:dyDescent="0.3">
      <c r="A331" s="3">
        <v>46114</v>
      </c>
      <c r="B331" s="2" t="s">
        <v>19</v>
      </c>
      <c r="C331" s="2" t="s">
        <v>50</v>
      </c>
      <c r="D331" s="2" t="s">
        <v>51</v>
      </c>
      <c r="E331" s="2" t="s">
        <v>22</v>
      </c>
      <c r="F331" s="2">
        <v>1277955380444250</v>
      </c>
      <c r="G331" s="2">
        <v>1.2024229057228E+17</v>
      </c>
      <c r="H331" s="2">
        <v>1.2024270613878E+17</v>
      </c>
      <c r="I331" s="2">
        <v>1.202427061388E+17</v>
      </c>
      <c r="J331" s="2" t="s">
        <v>23</v>
      </c>
      <c r="K331" s="4">
        <v>3717</v>
      </c>
      <c r="L331">
        <v>697</v>
      </c>
      <c r="M331">
        <v>829.59</v>
      </c>
      <c r="N331">
        <f t="shared" si="15"/>
        <v>3345</v>
      </c>
      <c r="O331">
        <f t="shared" si="16"/>
        <v>1505</v>
      </c>
      <c r="P331" s="5">
        <f t="shared" si="17"/>
        <v>2453</v>
      </c>
      <c r="S331">
        <v>63276</v>
      </c>
      <c r="T331">
        <v>1934</v>
      </c>
    </row>
    <row r="332" spans="1:20" ht="15.75" thickBot="1" x14ac:dyDescent="0.3">
      <c r="A332" s="3">
        <v>46114</v>
      </c>
      <c r="B332" s="2" t="s">
        <v>19</v>
      </c>
      <c r="C332" s="2" t="s">
        <v>50</v>
      </c>
      <c r="D332" s="2" t="s">
        <v>51</v>
      </c>
      <c r="E332" s="2" t="s">
        <v>22</v>
      </c>
      <c r="F332" s="2">
        <v>1277955380444250</v>
      </c>
      <c r="G332" s="2">
        <v>1.2024229057228E+17</v>
      </c>
      <c r="H332" s="2">
        <v>1.2024270613878E+17</v>
      </c>
      <c r="I332" s="2">
        <v>1.202427061388E+17</v>
      </c>
      <c r="J332" s="2" t="s">
        <v>24</v>
      </c>
      <c r="K332" s="4">
        <v>6111</v>
      </c>
      <c r="L332">
        <v>747</v>
      </c>
      <c r="M332">
        <v>496.49</v>
      </c>
      <c r="N332">
        <f t="shared" si="15"/>
        <v>5500</v>
      </c>
      <c r="O332">
        <f t="shared" si="16"/>
        <v>2475</v>
      </c>
      <c r="P332" s="5">
        <f t="shared" si="17"/>
        <v>4033</v>
      </c>
      <c r="S332">
        <v>866500</v>
      </c>
      <c r="T332">
        <v>4752</v>
      </c>
    </row>
    <row r="333" spans="1:20" ht="15.75" thickBot="1" x14ac:dyDescent="0.3">
      <c r="A333" s="3">
        <v>46114</v>
      </c>
      <c r="B333" s="2" t="s">
        <v>19</v>
      </c>
      <c r="C333" s="2" t="s">
        <v>50</v>
      </c>
      <c r="D333" s="2" t="s">
        <v>53</v>
      </c>
      <c r="E333" s="2" t="s">
        <v>22</v>
      </c>
      <c r="F333" s="2">
        <v>1277955380444250</v>
      </c>
      <c r="G333" s="2">
        <v>1.2024229057228E+17</v>
      </c>
      <c r="H333" s="2">
        <v>1.2024270613878E+17</v>
      </c>
      <c r="I333" s="2">
        <v>1.2024270613881E+17</v>
      </c>
      <c r="J333" s="2" t="s">
        <v>23</v>
      </c>
      <c r="K333" s="4">
        <v>5313</v>
      </c>
      <c r="L333">
        <v>487</v>
      </c>
      <c r="M333">
        <v>1081.8499999999999</v>
      </c>
      <c r="N333">
        <f t="shared" si="15"/>
        <v>4782</v>
      </c>
      <c r="O333">
        <f t="shared" si="16"/>
        <v>2152</v>
      </c>
      <c r="P333" s="5">
        <f t="shared" si="17"/>
        <v>3507</v>
      </c>
      <c r="S333">
        <v>1428</v>
      </c>
      <c r="T333">
        <v>10</v>
      </c>
    </row>
    <row r="334" spans="1:20" ht="15.75" thickBot="1" x14ac:dyDescent="0.3">
      <c r="A334" s="3">
        <v>46114</v>
      </c>
      <c r="B334" s="2" t="s">
        <v>19</v>
      </c>
      <c r="C334" s="2" t="s">
        <v>50</v>
      </c>
      <c r="D334" s="2" t="s">
        <v>53</v>
      </c>
      <c r="E334" s="2" t="s">
        <v>22</v>
      </c>
      <c r="F334" s="2">
        <v>1277955380444250</v>
      </c>
      <c r="G334" s="2">
        <v>1.2024229057228E+17</v>
      </c>
      <c r="H334" s="2">
        <v>1.2024270613878E+17</v>
      </c>
      <c r="I334" s="2">
        <v>1.2024270613881E+17</v>
      </c>
      <c r="J334" s="2" t="s">
        <v>24</v>
      </c>
      <c r="K334" s="4">
        <v>4017</v>
      </c>
      <c r="L334">
        <v>521</v>
      </c>
      <c r="M334">
        <v>198.21</v>
      </c>
      <c r="N334">
        <f t="shared" si="15"/>
        <v>3615</v>
      </c>
      <c r="O334">
        <f t="shared" si="16"/>
        <v>1627</v>
      </c>
      <c r="P334" s="5">
        <f t="shared" si="17"/>
        <v>2651</v>
      </c>
      <c r="S334">
        <v>26706</v>
      </c>
      <c r="T334">
        <v>126</v>
      </c>
    </row>
    <row r="335" spans="1:20" ht="15.75" thickBot="1" x14ac:dyDescent="0.3">
      <c r="A335" s="3">
        <v>46114</v>
      </c>
      <c r="B335" s="2" t="s">
        <v>19</v>
      </c>
      <c r="C335" s="2" t="s">
        <v>50</v>
      </c>
      <c r="D335" s="2" t="s">
        <v>53</v>
      </c>
      <c r="E335" s="2" t="s">
        <v>22</v>
      </c>
      <c r="F335" s="2">
        <v>1277955380444250</v>
      </c>
      <c r="G335" s="2">
        <v>1.2024229057228E+17</v>
      </c>
      <c r="H335" s="2">
        <v>1.2024270613878E+17</v>
      </c>
      <c r="I335" s="2">
        <v>1.2024270613881E+17</v>
      </c>
      <c r="J335" s="2" t="s">
        <v>36</v>
      </c>
      <c r="K335" s="4">
        <v>8386</v>
      </c>
      <c r="L335">
        <v>807</v>
      </c>
      <c r="M335">
        <v>1094.3800000000001</v>
      </c>
      <c r="N335">
        <f t="shared" si="15"/>
        <v>7547</v>
      </c>
      <c r="O335">
        <f t="shared" si="16"/>
        <v>3396</v>
      </c>
      <c r="P335" s="5">
        <f t="shared" si="17"/>
        <v>5535</v>
      </c>
      <c r="S335">
        <v>14</v>
      </c>
      <c r="T335">
        <v>1</v>
      </c>
    </row>
    <row r="336" spans="1:20" ht="15.75" thickBot="1" x14ac:dyDescent="0.3">
      <c r="A336" s="3">
        <v>46114</v>
      </c>
      <c r="B336" s="2" t="s">
        <v>19</v>
      </c>
      <c r="C336" s="2" t="s">
        <v>50</v>
      </c>
      <c r="D336" s="2" t="s">
        <v>53</v>
      </c>
      <c r="E336" s="2" t="s">
        <v>22</v>
      </c>
      <c r="F336" s="2">
        <v>1277955380444250</v>
      </c>
      <c r="G336" s="2">
        <v>1.2024229057228E+17</v>
      </c>
      <c r="H336" s="2">
        <v>1.2024270613878E+17</v>
      </c>
      <c r="I336" s="2">
        <v>1.2024270613881E+17</v>
      </c>
      <c r="J336" s="2" t="s">
        <v>52</v>
      </c>
      <c r="K336" s="4">
        <v>4284</v>
      </c>
      <c r="L336">
        <v>792</v>
      </c>
      <c r="M336">
        <v>1376.23</v>
      </c>
      <c r="N336">
        <f t="shared" si="15"/>
        <v>3856</v>
      </c>
      <c r="O336">
        <f t="shared" si="16"/>
        <v>1735</v>
      </c>
      <c r="P336" s="5">
        <f t="shared" si="17"/>
        <v>2827</v>
      </c>
      <c r="S336">
        <v>53</v>
      </c>
      <c r="T336">
        <v>4</v>
      </c>
    </row>
    <row r="337" spans="1:20" ht="15.75" thickBot="1" x14ac:dyDescent="0.3">
      <c r="A337" s="3">
        <v>46114</v>
      </c>
      <c r="B337" s="2" t="s">
        <v>19</v>
      </c>
      <c r="C337" s="2" t="s">
        <v>50</v>
      </c>
      <c r="D337" s="2" t="s">
        <v>54</v>
      </c>
      <c r="E337" s="2" t="s">
        <v>22</v>
      </c>
      <c r="F337" s="2">
        <v>1277955380444250</v>
      </c>
      <c r="G337" s="2">
        <v>1.2024229057228E+17</v>
      </c>
      <c r="H337" s="2">
        <v>1.2024270613878E+17</v>
      </c>
      <c r="I337" s="2">
        <v>1.2024270623134E+17</v>
      </c>
      <c r="J337" s="2" t="s">
        <v>23</v>
      </c>
      <c r="K337" s="4">
        <v>8385</v>
      </c>
      <c r="L337">
        <v>561</v>
      </c>
      <c r="M337">
        <v>1344.45</v>
      </c>
      <c r="N337">
        <f t="shared" si="15"/>
        <v>7547</v>
      </c>
      <c r="O337">
        <f t="shared" si="16"/>
        <v>3396</v>
      </c>
      <c r="P337" s="5">
        <f t="shared" si="17"/>
        <v>5534</v>
      </c>
      <c r="S337">
        <v>2161</v>
      </c>
      <c r="T337">
        <v>13</v>
      </c>
    </row>
    <row r="338" spans="1:20" ht="15.75" thickBot="1" x14ac:dyDescent="0.3">
      <c r="A338" s="3">
        <v>46114</v>
      </c>
      <c r="B338" s="2" t="s">
        <v>19</v>
      </c>
      <c r="C338" s="2" t="s">
        <v>50</v>
      </c>
      <c r="D338" s="2" t="s">
        <v>54</v>
      </c>
      <c r="E338" s="2" t="s">
        <v>22</v>
      </c>
      <c r="F338" s="2">
        <v>1277955380444250</v>
      </c>
      <c r="G338" s="2">
        <v>1.2024229057228E+17</v>
      </c>
      <c r="H338" s="2">
        <v>1.2024270613878E+17</v>
      </c>
      <c r="I338" s="2">
        <v>1.2024270623134E+17</v>
      </c>
      <c r="J338" s="2" t="s">
        <v>24</v>
      </c>
      <c r="K338" s="4">
        <v>7497</v>
      </c>
      <c r="L338">
        <v>309</v>
      </c>
      <c r="M338">
        <v>1412.8</v>
      </c>
      <c r="N338">
        <f t="shared" si="15"/>
        <v>6747</v>
      </c>
      <c r="O338">
        <f t="shared" si="16"/>
        <v>3036</v>
      </c>
      <c r="P338" s="5">
        <f t="shared" si="17"/>
        <v>4948</v>
      </c>
      <c r="S338">
        <v>85656</v>
      </c>
      <c r="T338">
        <v>349</v>
      </c>
    </row>
    <row r="339" spans="1:20" ht="15.75" thickBot="1" x14ac:dyDescent="0.3">
      <c r="A339" s="3">
        <v>46114</v>
      </c>
      <c r="B339" s="2" t="s">
        <v>19</v>
      </c>
      <c r="C339" s="2" t="s">
        <v>50</v>
      </c>
      <c r="D339" s="2" t="s">
        <v>54</v>
      </c>
      <c r="E339" s="2" t="s">
        <v>22</v>
      </c>
      <c r="F339" s="2">
        <v>1277955380444250</v>
      </c>
      <c r="G339" s="2">
        <v>1.2024229057228E+17</v>
      </c>
      <c r="H339" s="2">
        <v>1.2024270613878E+17</v>
      </c>
      <c r="I339" s="2">
        <v>1.2024270623134E+17</v>
      </c>
      <c r="J339" s="2" t="s">
        <v>36</v>
      </c>
      <c r="K339" s="4">
        <v>2548</v>
      </c>
      <c r="L339">
        <v>316</v>
      </c>
      <c r="M339">
        <v>992.95</v>
      </c>
      <c r="N339">
        <f t="shared" si="15"/>
        <v>2293</v>
      </c>
      <c r="O339">
        <f t="shared" si="16"/>
        <v>1032</v>
      </c>
      <c r="P339" s="5">
        <f t="shared" si="17"/>
        <v>1682</v>
      </c>
      <c r="S339">
        <v>2</v>
      </c>
    </row>
    <row r="340" spans="1:20" ht="15.75" thickBot="1" x14ac:dyDescent="0.3">
      <c r="A340" s="3">
        <v>46114</v>
      </c>
      <c r="B340" s="2" t="s">
        <v>19</v>
      </c>
      <c r="C340" s="2" t="s">
        <v>50</v>
      </c>
      <c r="D340" s="2" t="s">
        <v>54</v>
      </c>
      <c r="E340" s="2" t="s">
        <v>22</v>
      </c>
      <c r="F340" s="2">
        <v>1277955380444250</v>
      </c>
      <c r="G340" s="2">
        <v>1.2024229057228E+17</v>
      </c>
      <c r="H340" s="2">
        <v>1.2024270613878E+17</v>
      </c>
      <c r="I340" s="2">
        <v>1.2024270623134E+17</v>
      </c>
      <c r="J340" s="2" t="s">
        <v>52</v>
      </c>
      <c r="K340" s="4">
        <v>3067</v>
      </c>
      <c r="L340">
        <v>792</v>
      </c>
      <c r="M340">
        <v>1679.09</v>
      </c>
      <c r="N340">
        <f t="shared" si="15"/>
        <v>2760</v>
      </c>
      <c r="O340">
        <f t="shared" si="16"/>
        <v>1242</v>
      </c>
      <c r="P340" s="5">
        <f t="shared" si="17"/>
        <v>2024</v>
      </c>
      <c r="S340">
        <v>5324</v>
      </c>
      <c r="T340">
        <v>173</v>
      </c>
    </row>
    <row r="341" spans="1:20" ht="15.75" thickBot="1" x14ac:dyDescent="0.3">
      <c r="A341" s="3">
        <v>46114</v>
      </c>
      <c r="B341" s="2" t="s">
        <v>25</v>
      </c>
      <c r="C341" s="2" t="s">
        <v>26</v>
      </c>
      <c r="D341" s="2" t="s">
        <v>35</v>
      </c>
      <c r="E341" s="2" t="s">
        <v>22</v>
      </c>
      <c r="F341" s="2">
        <v>1277955380444250</v>
      </c>
      <c r="G341" s="2">
        <v>1.2024231584645E+17</v>
      </c>
      <c r="H341" s="2">
        <v>1.2024231618176E+17</v>
      </c>
      <c r="I341" s="2">
        <v>1.2024235726836E+17</v>
      </c>
      <c r="J341" s="2" t="s">
        <v>24</v>
      </c>
      <c r="K341" s="4">
        <v>1758</v>
      </c>
      <c r="L341">
        <v>943</v>
      </c>
      <c r="M341">
        <v>1347.85</v>
      </c>
      <c r="N341">
        <f t="shared" si="15"/>
        <v>1582</v>
      </c>
      <c r="O341">
        <f t="shared" si="16"/>
        <v>712</v>
      </c>
      <c r="P341" s="5">
        <f t="shared" si="17"/>
        <v>1160</v>
      </c>
    </row>
    <row r="342" spans="1:20" ht="15.75" thickBot="1" x14ac:dyDescent="0.3">
      <c r="A342" s="3">
        <v>46114</v>
      </c>
      <c r="B342" s="2" t="s">
        <v>25</v>
      </c>
      <c r="C342" s="2" t="s">
        <v>40</v>
      </c>
      <c r="D342" s="2" t="s">
        <v>64</v>
      </c>
      <c r="E342" s="2" t="s">
        <v>22</v>
      </c>
      <c r="F342" s="2">
        <v>1277955380444250</v>
      </c>
      <c r="G342" s="2">
        <v>1.2024231584645E+17</v>
      </c>
      <c r="H342" s="2">
        <v>1.2024246508913E+17</v>
      </c>
      <c r="I342" s="2">
        <v>1.2024297553794E+17</v>
      </c>
      <c r="J342" s="2" t="s">
        <v>23</v>
      </c>
      <c r="K342" s="4">
        <v>1429</v>
      </c>
      <c r="L342">
        <v>583</v>
      </c>
      <c r="M342">
        <v>1293.4100000000001</v>
      </c>
      <c r="N342">
        <f t="shared" si="15"/>
        <v>1286</v>
      </c>
      <c r="O342">
        <f t="shared" si="16"/>
        <v>579</v>
      </c>
      <c r="P342" s="5">
        <f t="shared" si="17"/>
        <v>943</v>
      </c>
    </row>
    <row r="343" spans="1:20" ht="15.75" thickBot="1" x14ac:dyDescent="0.3">
      <c r="A343" s="3">
        <v>46114</v>
      </c>
      <c r="B343" s="2" t="s">
        <v>25</v>
      </c>
      <c r="C343" s="2" t="s">
        <v>40</v>
      </c>
      <c r="D343" s="2" t="s">
        <v>64</v>
      </c>
      <c r="E343" s="2" t="s">
        <v>22</v>
      </c>
      <c r="F343" s="2">
        <v>1277955380444250</v>
      </c>
      <c r="G343" s="2">
        <v>1.2024231584645E+17</v>
      </c>
      <c r="H343" s="2">
        <v>1.2024246508913E+17</v>
      </c>
      <c r="I343" s="2">
        <v>1.2024297553794E+17</v>
      </c>
      <c r="J343" s="2" t="s">
        <v>24</v>
      </c>
      <c r="K343" s="4">
        <v>7545</v>
      </c>
      <c r="L343">
        <v>257</v>
      </c>
      <c r="M343">
        <v>348.49</v>
      </c>
      <c r="N343">
        <f t="shared" si="15"/>
        <v>6791</v>
      </c>
      <c r="O343">
        <f t="shared" si="16"/>
        <v>3056</v>
      </c>
      <c r="P343" s="5">
        <f t="shared" si="17"/>
        <v>4980</v>
      </c>
    </row>
    <row r="344" spans="1:20" ht="15.75" thickBot="1" x14ac:dyDescent="0.3">
      <c r="A344" s="3">
        <v>46114</v>
      </c>
      <c r="B344" s="2" t="s">
        <v>25</v>
      </c>
      <c r="C344" s="2" t="s">
        <v>40</v>
      </c>
      <c r="D344" s="2" t="s">
        <v>61</v>
      </c>
      <c r="E344" s="2" t="s">
        <v>22</v>
      </c>
      <c r="F344" s="2">
        <v>1277955380444250</v>
      </c>
      <c r="G344" s="2">
        <v>1.2024231584645E+17</v>
      </c>
      <c r="H344" s="2">
        <v>1.2024246508913E+17</v>
      </c>
      <c r="I344" s="2">
        <v>1.2024294401448E+17</v>
      </c>
      <c r="J344" s="2" t="s">
        <v>23</v>
      </c>
      <c r="K344" s="4">
        <v>6194</v>
      </c>
      <c r="L344">
        <v>895</v>
      </c>
      <c r="M344">
        <v>134.80000000000001</v>
      </c>
      <c r="N344">
        <f t="shared" si="15"/>
        <v>5575</v>
      </c>
      <c r="O344">
        <f t="shared" si="16"/>
        <v>2509</v>
      </c>
      <c r="P344" s="5">
        <f t="shared" si="17"/>
        <v>4088</v>
      </c>
    </row>
    <row r="345" spans="1:20" ht="15.75" thickBot="1" x14ac:dyDescent="0.3">
      <c r="A345" s="3">
        <v>46114</v>
      </c>
      <c r="B345" s="2" t="s">
        <v>25</v>
      </c>
      <c r="C345" s="2" t="s">
        <v>40</v>
      </c>
      <c r="D345" s="2" t="s">
        <v>61</v>
      </c>
      <c r="E345" s="2" t="s">
        <v>22</v>
      </c>
      <c r="F345" s="2">
        <v>1277955380444250</v>
      </c>
      <c r="G345" s="2">
        <v>1.2024231584645E+17</v>
      </c>
      <c r="H345" s="2">
        <v>1.2024246508913E+17</v>
      </c>
      <c r="I345" s="2">
        <v>1.2024294401448E+17</v>
      </c>
      <c r="J345" s="2" t="s">
        <v>24</v>
      </c>
      <c r="K345" s="4">
        <v>5116</v>
      </c>
      <c r="L345">
        <v>784</v>
      </c>
      <c r="M345">
        <v>1184.55</v>
      </c>
      <c r="N345">
        <f t="shared" si="15"/>
        <v>4604</v>
      </c>
      <c r="O345">
        <f t="shared" si="16"/>
        <v>2072</v>
      </c>
      <c r="P345" s="5">
        <f t="shared" si="17"/>
        <v>3377</v>
      </c>
    </row>
    <row r="346" spans="1:20" ht="15.75" thickBot="1" x14ac:dyDescent="0.3">
      <c r="A346" s="3">
        <v>46114</v>
      </c>
      <c r="B346" s="2" t="s">
        <v>25</v>
      </c>
      <c r="C346" s="2" t="s">
        <v>28</v>
      </c>
      <c r="D346" s="2" t="s">
        <v>65</v>
      </c>
      <c r="E346" s="2" t="s">
        <v>22</v>
      </c>
      <c r="F346" s="2">
        <v>1277955380444250</v>
      </c>
      <c r="G346" s="2">
        <v>1.2024231584645E+17</v>
      </c>
      <c r="H346" s="2">
        <v>1.2024231613167E+17</v>
      </c>
      <c r="I346" s="2">
        <v>1.2024294474555E+17</v>
      </c>
      <c r="J346" s="2" t="s">
        <v>23</v>
      </c>
      <c r="K346" s="4">
        <v>6277</v>
      </c>
      <c r="L346">
        <v>574</v>
      </c>
      <c r="M346">
        <v>1996.64</v>
      </c>
      <c r="N346">
        <f t="shared" si="15"/>
        <v>5649</v>
      </c>
      <c r="O346">
        <f t="shared" si="16"/>
        <v>2542</v>
      </c>
      <c r="P346" s="5">
        <f t="shared" si="17"/>
        <v>4143</v>
      </c>
    </row>
    <row r="347" spans="1:20" ht="15.75" thickBot="1" x14ac:dyDescent="0.3">
      <c r="A347" s="3">
        <v>46114</v>
      </c>
      <c r="B347" s="2" t="s">
        <v>25</v>
      </c>
      <c r="C347" s="2" t="s">
        <v>28</v>
      </c>
      <c r="D347" s="2" t="s">
        <v>65</v>
      </c>
      <c r="E347" s="2" t="s">
        <v>22</v>
      </c>
      <c r="F347" s="2">
        <v>1277955380444250</v>
      </c>
      <c r="G347" s="2">
        <v>1.2024231584645E+17</v>
      </c>
      <c r="H347" s="2">
        <v>1.2024231613167E+17</v>
      </c>
      <c r="I347" s="2">
        <v>1.2024294474555E+17</v>
      </c>
      <c r="J347" s="2" t="s">
        <v>24</v>
      </c>
      <c r="K347" s="4">
        <v>9445</v>
      </c>
      <c r="L347">
        <v>327</v>
      </c>
      <c r="M347">
        <v>828.33</v>
      </c>
      <c r="N347">
        <f t="shared" si="15"/>
        <v>8501</v>
      </c>
      <c r="O347">
        <f t="shared" si="16"/>
        <v>3825</v>
      </c>
      <c r="P347" s="5">
        <f t="shared" si="17"/>
        <v>6234</v>
      </c>
    </row>
    <row r="348" spans="1:20" ht="15.75" thickBot="1" x14ac:dyDescent="0.3">
      <c r="A348" s="3">
        <v>46114</v>
      </c>
      <c r="B348" s="2" t="s">
        <v>25</v>
      </c>
      <c r="C348" s="2" t="s">
        <v>28</v>
      </c>
      <c r="D348" s="2" t="s">
        <v>37</v>
      </c>
      <c r="E348" s="2" t="s">
        <v>22</v>
      </c>
      <c r="F348" s="2">
        <v>1277955380444250</v>
      </c>
      <c r="G348" s="2">
        <v>1.2024231584645E+17</v>
      </c>
      <c r="H348" s="2">
        <v>1.2024231613167E+17</v>
      </c>
      <c r="I348" s="2">
        <v>1.2024235723042E+17</v>
      </c>
      <c r="J348" s="2" t="s">
        <v>24</v>
      </c>
      <c r="K348" s="4">
        <v>2139</v>
      </c>
      <c r="L348">
        <v>849</v>
      </c>
      <c r="M348">
        <v>617.36</v>
      </c>
      <c r="N348">
        <f t="shared" si="15"/>
        <v>1925</v>
      </c>
      <c r="O348">
        <f t="shared" si="16"/>
        <v>866</v>
      </c>
      <c r="P348" s="5">
        <f t="shared" si="17"/>
        <v>1412</v>
      </c>
    </row>
    <row r="349" spans="1:20" ht="15.75" thickBot="1" x14ac:dyDescent="0.3">
      <c r="A349" s="3">
        <v>46114</v>
      </c>
      <c r="B349" s="2" t="s">
        <v>25</v>
      </c>
      <c r="C349" s="2" t="s">
        <v>30</v>
      </c>
      <c r="D349" s="2" t="s">
        <v>66</v>
      </c>
      <c r="E349" s="2" t="s">
        <v>22</v>
      </c>
      <c r="F349" s="2">
        <v>1277955380444250</v>
      </c>
      <c r="G349" s="2">
        <v>1.2024231584645E+17</v>
      </c>
      <c r="H349" s="2">
        <v>1.2024231592817E+17</v>
      </c>
      <c r="I349" s="2">
        <v>1.2024297479832E+17</v>
      </c>
      <c r="J349" s="2" t="s">
        <v>23</v>
      </c>
      <c r="K349" s="4">
        <v>8923</v>
      </c>
      <c r="L349">
        <v>132</v>
      </c>
      <c r="M349">
        <v>1973.78</v>
      </c>
      <c r="N349">
        <f t="shared" si="15"/>
        <v>8031</v>
      </c>
      <c r="O349">
        <f t="shared" si="16"/>
        <v>3614</v>
      </c>
      <c r="P349" s="5">
        <f t="shared" si="17"/>
        <v>5889</v>
      </c>
    </row>
    <row r="350" spans="1:20" ht="15.75" thickBot="1" x14ac:dyDescent="0.3">
      <c r="A350" s="3">
        <v>46114</v>
      </c>
      <c r="B350" s="2" t="s">
        <v>25</v>
      </c>
      <c r="C350" s="2" t="s">
        <v>30</v>
      </c>
      <c r="D350" s="2" t="s">
        <v>66</v>
      </c>
      <c r="E350" s="2" t="s">
        <v>22</v>
      </c>
      <c r="F350" s="2">
        <v>1277955380444250</v>
      </c>
      <c r="G350" s="2">
        <v>1.2024231584645E+17</v>
      </c>
      <c r="H350" s="2">
        <v>1.2024231592817E+17</v>
      </c>
      <c r="I350" s="2">
        <v>1.2024297479832E+17</v>
      </c>
      <c r="J350" s="2" t="s">
        <v>24</v>
      </c>
      <c r="K350" s="4">
        <v>9993</v>
      </c>
      <c r="L350">
        <v>972</v>
      </c>
      <c r="M350">
        <v>1954.82</v>
      </c>
      <c r="N350">
        <f t="shared" si="15"/>
        <v>8994</v>
      </c>
      <c r="O350">
        <f t="shared" si="16"/>
        <v>4047</v>
      </c>
      <c r="P350" s="5">
        <f t="shared" si="17"/>
        <v>6595</v>
      </c>
    </row>
    <row r="351" spans="1:20" ht="15.75" thickBot="1" x14ac:dyDescent="0.3">
      <c r="A351" s="3">
        <v>46114</v>
      </c>
      <c r="B351" s="2" t="s">
        <v>25</v>
      </c>
      <c r="C351" s="2" t="s">
        <v>30</v>
      </c>
      <c r="D351" s="2" t="s">
        <v>38</v>
      </c>
      <c r="E351" s="2" t="s">
        <v>22</v>
      </c>
      <c r="F351" s="2">
        <v>1277955380444250</v>
      </c>
      <c r="G351" s="2">
        <v>1.2024231584645E+17</v>
      </c>
      <c r="H351" s="2">
        <v>1.2024231592817E+17</v>
      </c>
      <c r="I351" s="2">
        <v>1.202423571795E+17</v>
      </c>
      <c r="J351" s="2" t="s">
        <v>24</v>
      </c>
      <c r="K351" s="4">
        <v>2114</v>
      </c>
      <c r="L351">
        <v>317</v>
      </c>
      <c r="M351">
        <v>822.61</v>
      </c>
      <c r="N351">
        <f t="shared" si="15"/>
        <v>1903</v>
      </c>
      <c r="O351">
        <f t="shared" si="16"/>
        <v>856</v>
      </c>
      <c r="P351" s="5">
        <f t="shared" si="17"/>
        <v>1395</v>
      </c>
    </row>
    <row r="352" spans="1:20" ht="15.75" thickBot="1" x14ac:dyDescent="0.3">
      <c r="A352" s="3">
        <v>46114</v>
      </c>
      <c r="B352" s="2" t="s">
        <v>25</v>
      </c>
      <c r="C352" s="2" t="s">
        <v>32</v>
      </c>
      <c r="D352" s="2" t="s">
        <v>67</v>
      </c>
      <c r="E352" s="2" t="s">
        <v>22</v>
      </c>
      <c r="F352" s="2">
        <v>1277955380444250</v>
      </c>
      <c r="G352" s="2">
        <v>1.2024231584645E+17</v>
      </c>
      <c r="H352" s="2">
        <v>1.2024231584646E+17</v>
      </c>
      <c r="I352" s="2">
        <v>1.2024294450961E+17</v>
      </c>
      <c r="J352" s="2" t="s">
        <v>23</v>
      </c>
      <c r="K352" s="4">
        <v>9822</v>
      </c>
      <c r="L352">
        <v>119</v>
      </c>
      <c r="M352">
        <v>586.38</v>
      </c>
      <c r="N352">
        <f t="shared" si="15"/>
        <v>8840</v>
      </c>
      <c r="O352">
        <f t="shared" si="16"/>
        <v>3978</v>
      </c>
      <c r="P352" s="5">
        <f t="shared" si="17"/>
        <v>6483</v>
      </c>
    </row>
    <row r="353" spans="1:20" ht="15.75" thickBot="1" x14ac:dyDescent="0.3">
      <c r="A353" s="3">
        <v>46114</v>
      </c>
      <c r="B353" s="2" t="s">
        <v>25</v>
      </c>
      <c r="C353" s="2" t="s">
        <v>32</v>
      </c>
      <c r="D353" s="2" t="s">
        <v>67</v>
      </c>
      <c r="E353" s="2" t="s">
        <v>22</v>
      </c>
      <c r="F353" s="2">
        <v>1277955380444250</v>
      </c>
      <c r="G353" s="2">
        <v>1.2024231584645E+17</v>
      </c>
      <c r="H353" s="2">
        <v>1.2024231584646E+17</v>
      </c>
      <c r="I353" s="2">
        <v>1.2024294450961E+17</v>
      </c>
      <c r="J353" s="2" t="s">
        <v>24</v>
      </c>
      <c r="K353" s="4">
        <v>4944</v>
      </c>
      <c r="L353">
        <v>318</v>
      </c>
      <c r="M353">
        <v>720.63</v>
      </c>
      <c r="N353">
        <f t="shared" si="15"/>
        <v>4450</v>
      </c>
      <c r="O353">
        <f t="shared" si="16"/>
        <v>2003</v>
      </c>
      <c r="P353" s="5">
        <f t="shared" si="17"/>
        <v>3263</v>
      </c>
    </row>
    <row r="354" spans="1:20" ht="15.75" thickBot="1" x14ac:dyDescent="0.3">
      <c r="A354" s="3">
        <v>46114</v>
      </c>
      <c r="B354" s="2" t="s">
        <v>56</v>
      </c>
      <c r="C354" s="2" t="s">
        <v>57</v>
      </c>
      <c r="D354" s="2" t="s">
        <v>63</v>
      </c>
      <c r="E354" s="2" t="s">
        <v>22</v>
      </c>
      <c r="F354" s="2">
        <v>1277955380444250</v>
      </c>
      <c r="G354" s="2">
        <v>1.2024270854698E+17</v>
      </c>
      <c r="H354" s="2">
        <v>1.2024270854697E+17</v>
      </c>
      <c r="I354" s="2">
        <v>1.2024294325528E+17</v>
      </c>
      <c r="J354" s="2" t="s">
        <v>23</v>
      </c>
      <c r="K354" s="4">
        <v>1996</v>
      </c>
      <c r="L354">
        <v>447</v>
      </c>
      <c r="M354">
        <v>499.41</v>
      </c>
      <c r="N354">
        <f t="shared" si="15"/>
        <v>1796</v>
      </c>
      <c r="O354">
        <f t="shared" si="16"/>
        <v>808</v>
      </c>
      <c r="P354" s="5">
        <f t="shared" si="17"/>
        <v>1317</v>
      </c>
    </row>
    <row r="355" spans="1:20" ht="15.75" thickBot="1" x14ac:dyDescent="0.3">
      <c r="A355" s="3">
        <v>46114</v>
      </c>
      <c r="B355" s="2" t="s">
        <v>56</v>
      </c>
      <c r="C355" s="2" t="s">
        <v>57</v>
      </c>
      <c r="D355" s="2" t="s">
        <v>63</v>
      </c>
      <c r="E355" s="2" t="s">
        <v>22</v>
      </c>
      <c r="F355" s="2">
        <v>1277955380444250</v>
      </c>
      <c r="G355" s="2">
        <v>1.2024270854698E+17</v>
      </c>
      <c r="H355" s="2">
        <v>1.2024270854697E+17</v>
      </c>
      <c r="I355" s="2">
        <v>1.2024294325528E+17</v>
      </c>
      <c r="J355" s="2" t="s">
        <v>24</v>
      </c>
      <c r="K355" s="4">
        <v>8585</v>
      </c>
      <c r="L355">
        <v>620</v>
      </c>
      <c r="M355">
        <v>1537.63</v>
      </c>
      <c r="N355">
        <f t="shared" si="15"/>
        <v>7727</v>
      </c>
      <c r="O355">
        <f t="shared" si="16"/>
        <v>3477</v>
      </c>
      <c r="P355" s="5">
        <f t="shared" si="17"/>
        <v>5666</v>
      </c>
    </row>
    <row r="356" spans="1:20" ht="15.75" thickBot="1" x14ac:dyDescent="0.3">
      <c r="A356" s="3">
        <v>46114</v>
      </c>
      <c r="B356" s="2" t="s">
        <v>56</v>
      </c>
      <c r="C356" s="2" t="s">
        <v>57</v>
      </c>
      <c r="D356" s="2" t="s">
        <v>63</v>
      </c>
      <c r="E356" s="2" t="s">
        <v>22</v>
      </c>
      <c r="F356" s="2">
        <v>1277955380444250</v>
      </c>
      <c r="G356" s="2">
        <v>1.2024270854698E+17</v>
      </c>
      <c r="H356" s="2">
        <v>1.2024270854697E+17</v>
      </c>
      <c r="I356" s="2">
        <v>1.2024294325528E+17</v>
      </c>
      <c r="J356" s="2" t="s">
        <v>46</v>
      </c>
      <c r="K356" s="4">
        <v>8848</v>
      </c>
      <c r="L356">
        <v>624</v>
      </c>
      <c r="M356">
        <v>1928.11</v>
      </c>
      <c r="N356">
        <f t="shared" si="15"/>
        <v>7963</v>
      </c>
      <c r="O356">
        <f t="shared" si="16"/>
        <v>3583</v>
      </c>
      <c r="P356" s="5">
        <f t="shared" si="17"/>
        <v>5840</v>
      </c>
    </row>
    <row r="357" spans="1:20" ht="15.75" thickBot="1" x14ac:dyDescent="0.3">
      <c r="A357" s="3">
        <v>46115</v>
      </c>
      <c r="B357" s="2" t="s">
        <v>47</v>
      </c>
      <c r="C357" s="2" t="s">
        <v>48</v>
      </c>
      <c r="D357" s="2" t="s">
        <v>59</v>
      </c>
      <c r="E357" s="2" t="s">
        <v>22</v>
      </c>
      <c r="F357" s="2">
        <v>1277955380444250</v>
      </c>
      <c r="G357" s="2">
        <v>1.2024261720294E+17</v>
      </c>
      <c r="H357" s="2">
        <v>1.2024261720296E+17</v>
      </c>
      <c r="I357" s="2">
        <v>1.2024292230769E+17</v>
      </c>
      <c r="J357" s="2" t="s">
        <v>23</v>
      </c>
      <c r="K357" s="4">
        <v>4907</v>
      </c>
      <c r="L357">
        <v>977</v>
      </c>
      <c r="M357">
        <v>1338.6</v>
      </c>
      <c r="N357">
        <f t="shared" si="15"/>
        <v>4416</v>
      </c>
      <c r="O357">
        <f t="shared" si="16"/>
        <v>1987</v>
      </c>
      <c r="P357" s="5">
        <f t="shared" si="17"/>
        <v>3239</v>
      </c>
      <c r="S357">
        <v>2</v>
      </c>
    </row>
    <row r="358" spans="1:20" ht="15.75" thickBot="1" x14ac:dyDescent="0.3">
      <c r="A358" s="3">
        <v>46115</v>
      </c>
      <c r="B358" s="2" t="s">
        <v>47</v>
      </c>
      <c r="C358" s="2" t="s">
        <v>48</v>
      </c>
      <c r="D358" s="2" t="s">
        <v>59</v>
      </c>
      <c r="E358" s="2" t="s">
        <v>22</v>
      </c>
      <c r="F358" s="2">
        <v>1277955380444250</v>
      </c>
      <c r="G358" s="2">
        <v>1.2024261720294E+17</v>
      </c>
      <c r="H358" s="2">
        <v>1.2024261720296E+17</v>
      </c>
      <c r="I358" s="2">
        <v>1.2024292230769E+17</v>
      </c>
      <c r="J358" s="2" t="s">
        <v>24</v>
      </c>
      <c r="K358" s="4">
        <v>5665</v>
      </c>
      <c r="L358">
        <v>925</v>
      </c>
      <c r="M358">
        <v>537.76</v>
      </c>
      <c r="N358">
        <f t="shared" si="15"/>
        <v>5099</v>
      </c>
      <c r="O358">
        <f t="shared" si="16"/>
        <v>2295</v>
      </c>
      <c r="P358" s="5">
        <f t="shared" si="17"/>
        <v>3739</v>
      </c>
      <c r="R358">
        <v>59</v>
      </c>
      <c r="S358">
        <v>93</v>
      </c>
      <c r="T358">
        <v>47</v>
      </c>
    </row>
    <row r="359" spans="1:20" ht="15.75" thickBot="1" x14ac:dyDescent="0.3">
      <c r="A359" s="3">
        <v>46115</v>
      </c>
      <c r="B359" s="2" t="s">
        <v>47</v>
      </c>
      <c r="C359" s="2" t="s">
        <v>48</v>
      </c>
      <c r="D359" s="2" t="s">
        <v>49</v>
      </c>
      <c r="E359" s="2" t="s">
        <v>22</v>
      </c>
      <c r="F359" s="2">
        <v>1277955380444250</v>
      </c>
      <c r="G359" s="2">
        <v>1.2024261720294E+17</v>
      </c>
      <c r="H359" s="2">
        <v>1.2024261720296E+17</v>
      </c>
      <c r="I359" s="2">
        <v>1.2024261720295E+17</v>
      </c>
      <c r="J359" s="2" t="s">
        <v>23</v>
      </c>
      <c r="K359" s="4">
        <v>2823</v>
      </c>
      <c r="L359">
        <v>722</v>
      </c>
      <c r="M359">
        <v>1876.9</v>
      </c>
      <c r="N359">
        <f t="shared" si="15"/>
        <v>2541</v>
      </c>
      <c r="O359">
        <f t="shared" si="16"/>
        <v>1143</v>
      </c>
      <c r="P359" s="5">
        <f t="shared" si="17"/>
        <v>1863</v>
      </c>
      <c r="R359">
        <v>6</v>
      </c>
      <c r="S359">
        <v>130</v>
      </c>
      <c r="T359">
        <v>10</v>
      </c>
    </row>
    <row r="360" spans="1:20" ht="15.75" thickBot="1" x14ac:dyDescent="0.3">
      <c r="A360" s="3">
        <v>46115</v>
      </c>
      <c r="B360" s="2" t="s">
        <v>47</v>
      </c>
      <c r="C360" s="2" t="s">
        <v>48</v>
      </c>
      <c r="D360" s="2" t="s">
        <v>49</v>
      </c>
      <c r="E360" s="2" t="s">
        <v>22</v>
      </c>
      <c r="F360" s="2">
        <v>1277955380444250</v>
      </c>
      <c r="G360" s="2">
        <v>1.2024261720294E+17</v>
      </c>
      <c r="H360" s="2">
        <v>1.2024261720296E+17</v>
      </c>
      <c r="I360" s="2">
        <v>1.2024261720295E+17</v>
      </c>
      <c r="J360" s="2" t="s">
        <v>24</v>
      </c>
      <c r="K360" s="4">
        <v>5628</v>
      </c>
      <c r="L360">
        <v>313</v>
      </c>
      <c r="M360">
        <v>1552.77</v>
      </c>
      <c r="N360">
        <f t="shared" si="15"/>
        <v>5065</v>
      </c>
      <c r="O360">
        <f t="shared" si="16"/>
        <v>2279</v>
      </c>
      <c r="P360" s="5">
        <f t="shared" si="17"/>
        <v>3714</v>
      </c>
      <c r="R360">
        <v>7942</v>
      </c>
      <c r="S360">
        <v>11012</v>
      </c>
      <c r="T360">
        <v>2964</v>
      </c>
    </row>
    <row r="361" spans="1:20" ht="15.75" thickBot="1" x14ac:dyDescent="0.3">
      <c r="A361" s="3">
        <v>46115</v>
      </c>
      <c r="B361" s="2" t="s">
        <v>47</v>
      </c>
      <c r="C361" s="2" t="s">
        <v>48</v>
      </c>
      <c r="D361" s="2" t="s">
        <v>60</v>
      </c>
      <c r="E361" s="2" t="s">
        <v>22</v>
      </c>
      <c r="F361" s="2">
        <v>1277955380444250</v>
      </c>
      <c r="G361" s="2">
        <v>1.2024261720294E+17</v>
      </c>
      <c r="H361" s="2">
        <v>1.2024261720296E+17</v>
      </c>
      <c r="I361" s="2">
        <v>1.2024292195261E+17</v>
      </c>
      <c r="J361" s="2" t="s">
        <v>23</v>
      </c>
      <c r="K361" s="4">
        <v>9259</v>
      </c>
      <c r="L361">
        <v>515</v>
      </c>
      <c r="M361">
        <v>1871.39</v>
      </c>
      <c r="N361">
        <f t="shared" si="15"/>
        <v>8333</v>
      </c>
      <c r="O361">
        <f t="shared" si="16"/>
        <v>3750</v>
      </c>
      <c r="P361" s="5">
        <f t="shared" si="17"/>
        <v>6111</v>
      </c>
      <c r="R361">
        <v>34255</v>
      </c>
      <c r="S361">
        <v>105125</v>
      </c>
      <c r="T361">
        <v>14299</v>
      </c>
    </row>
    <row r="362" spans="1:20" ht="15.75" thickBot="1" x14ac:dyDescent="0.3">
      <c r="A362" s="3">
        <v>46115</v>
      </c>
      <c r="B362" s="2" t="s">
        <v>47</v>
      </c>
      <c r="C362" s="2" t="s">
        <v>48</v>
      </c>
      <c r="D362" s="2" t="s">
        <v>60</v>
      </c>
      <c r="E362" s="2" t="s">
        <v>22</v>
      </c>
      <c r="F362" s="2">
        <v>1277955380444250</v>
      </c>
      <c r="G362" s="2">
        <v>1.2024261720294E+17</v>
      </c>
      <c r="H362" s="2">
        <v>1.2024261720296E+17</v>
      </c>
      <c r="I362" s="2">
        <v>1.2024292195261E+17</v>
      </c>
      <c r="J362" s="2" t="s">
        <v>24</v>
      </c>
      <c r="K362" s="4">
        <v>5953</v>
      </c>
      <c r="L362">
        <v>321</v>
      </c>
      <c r="M362">
        <v>1307.57</v>
      </c>
      <c r="N362">
        <f t="shared" si="15"/>
        <v>5358</v>
      </c>
      <c r="O362">
        <f t="shared" si="16"/>
        <v>2411</v>
      </c>
      <c r="P362" s="5">
        <f t="shared" si="17"/>
        <v>3929</v>
      </c>
      <c r="R362">
        <v>1565694</v>
      </c>
      <c r="S362">
        <v>3726240</v>
      </c>
      <c r="T362">
        <v>993504</v>
      </c>
    </row>
    <row r="363" spans="1:20" ht="15.75" thickBot="1" x14ac:dyDescent="0.3">
      <c r="A363" s="3">
        <v>46115</v>
      </c>
      <c r="B363" s="2" t="s">
        <v>19</v>
      </c>
      <c r="C363" s="2" t="s">
        <v>20</v>
      </c>
      <c r="D363" s="2" t="s">
        <v>21</v>
      </c>
      <c r="E363" s="2" t="s">
        <v>22</v>
      </c>
      <c r="F363" s="2">
        <v>1277955380444250</v>
      </c>
      <c r="G363" s="2">
        <v>1.2024229057228E+17</v>
      </c>
      <c r="H363" s="2">
        <v>1.2024229057229E+17</v>
      </c>
      <c r="I363" s="2">
        <v>1.2024229057227E+17</v>
      </c>
      <c r="J363" s="2" t="s">
        <v>23</v>
      </c>
      <c r="K363" s="4">
        <v>9231</v>
      </c>
      <c r="L363">
        <v>223</v>
      </c>
      <c r="M363">
        <v>302.42</v>
      </c>
      <c r="N363">
        <f t="shared" si="15"/>
        <v>8308</v>
      </c>
      <c r="O363">
        <f t="shared" si="16"/>
        <v>3739</v>
      </c>
      <c r="P363" s="5">
        <f t="shared" si="17"/>
        <v>6092</v>
      </c>
      <c r="S363">
        <v>537</v>
      </c>
      <c r="T363">
        <v>13</v>
      </c>
    </row>
    <row r="364" spans="1:20" ht="15.75" thickBot="1" x14ac:dyDescent="0.3">
      <c r="A364" s="3">
        <v>46115</v>
      </c>
      <c r="B364" s="2" t="s">
        <v>19</v>
      </c>
      <c r="C364" s="2" t="s">
        <v>20</v>
      </c>
      <c r="D364" s="2" t="s">
        <v>21</v>
      </c>
      <c r="E364" s="2" t="s">
        <v>22</v>
      </c>
      <c r="F364" s="2">
        <v>1277955380444250</v>
      </c>
      <c r="G364" s="2">
        <v>1.2024229057228E+17</v>
      </c>
      <c r="H364" s="2">
        <v>1.2024229057229E+17</v>
      </c>
      <c r="I364" s="2">
        <v>1.2024229057227E+17</v>
      </c>
      <c r="J364" s="2" t="s">
        <v>24</v>
      </c>
      <c r="K364" s="4">
        <v>6963</v>
      </c>
      <c r="L364">
        <v>339</v>
      </c>
      <c r="M364">
        <v>1353.9</v>
      </c>
      <c r="N364">
        <f t="shared" si="15"/>
        <v>6267</v>
      </c>
      <c r="O364">
        <f t="shared" si="16"/>
        <v>2820</v>
      </c>
      <c r="P364" s="5">
        <f t="shared" si="17"/>
        <v>4596</v>
      </c>
      <c r="S364">
        <v>90151</v>
      </c>
      <c r="T364">
        <v>316</v>
      </c>
    </row>
    <row r="365" spans="1:20" ht="15.75" thickBot="1" x14ac:dyDescent="0.3">
      <c r="A365" s="3">
        <v>46115</v>
      </c>
      <c r="B365" s="2" t="s">
        <v>19</v>
      </c>
      <c r="C365" s="2" t="s">
        <v>20</v>
      </c>
      <c r="D365" s="2" t="s">
        <v>34</v>
      </c>
      <c r="E365" s="2" t="s">
        <v>22</v>
      </c>
      <c r="F365" s="2">
        <v>1277955380444250</v>
      </c>
      <c r="G365" s="2">
        <v>1.2024229057228E+17</v>
      </c>
      <c r="H365" s="2">
        <v>1.2024229057229E+17</v>
      </c>
      <c r="I365" s="2">
        <v>1.2024229334046E+17</v>
      </c>
      <c r="J365" s="2" t="s">
        <v>23</v>
      </c>
      <c r="K365" s="4">
        <v>5642</v>
      </c>
      <c r="L365">
        <v>901</v>
      </c>
      <c r="M365">
        <v>1095.46</v>
      </c>
      <c r="N365">
        <f t="shared" si="15"/>
        <v>5078</v>
      </c>
      <c r="O365">
        <f t="shared" si="16"/>
        <v>2285</v>
      </c>
      <c r="P365" s="5">
        <f t="shared" si="17"/>
        <v>3724</v>
      </c>
      <c r="S365">
        <v>309</v>
      </c>
      <c r="T365">
        <v>1</v>
      </c>
    </row>
    <row r="366" spans="1:20" ht="15.75" thickBot="1" x14ac:dyDescent="0.3">
      <c r="A366" s="3">
        <v>46115</v>
      </c>
      <c r="B366" s="2" t="s">
        <v>19</v>
      </c>
      <c r="C366" s="2" t="s">
        <v>20</v>
      </c>
      <c r="D366" s="2" t="s">
        <v>34</v>
      </c>
      <c r="E366" s="2" t="s">
        <v>22</v>
      </c>
      <c r="F366" s="2">
        <v>1277955380444250</v>
      </c>
      <c r="G366" s="2">
        <v>1.2024229057228E+17</v>
      </c>
      <c r="H366" s="2">
        <v>1.2024229057229E+17</v>
      </c>
      <c r="I366" s="2">
        <v>1.2024229334046E+17</v>
      </c>
      <c r="J366" s="2" t="s">
        <v>24</v>
      </c>
      <c r="K366" s="4">
        <v>6978</v>
      </c>
      <c r="L366">
        <v>889</v>
      </c>
      <c r="M366">
        <v>1401.68</v>
      </c>
      <c r="N366">
        <f t="shared" si="15"/>
        <v>6280</v>
      </c>
      <c r="O366">
        <f t="shared" si="16"/>
        <v>2826</v>
      </c>
      <c r="P366" s="5">
        <f t="shared" si="17"/>
        <v>4605</v>
      </c>
      <c r="S366">
        <v>123284</v>
      </c>
      <c r="T366">
        <v>526</v>
      </c>
    </row>
    <row r="367" spans="1:20" ht="15.75" thickBot="1" x14ac:dyDescent="0.3">
      <c r="A367" s="3">
        <v>46115</v>
      </c>
      <c r="B367" s="2" t="s">
        <v>19</v>
      </c>
      <c r="C367" s="2" t="s">
        <v>50</v>
      </c>
      <c r="D367" s="2" t="s">
        <v>51</v>
      </c>
      <c r="E367" s="2" t="s">
        <v>22</v>
      </c>
      <c r="F367" s="2">
        <v>1277955380444250</v>
      </c>
      <c r="G367" s="2">
        <v>1.2024229057228E+17</v>
      </c>
      <c r="H367" s="2">
        <v>1.2024270613878E+17</v>
      </c>
      <c r="I367" s="2">
        <v>1.202427061388E+17</v>
      </c>
      <c r="J367" s="2" t="s">
        <v>23</v>
      </c>
      <c r="K367" s="4">
        <v>9507</v>
      </c>
      <c r="L367">
        <v>163</v>
      </c>
      <c r="M367">
        <v>1548.12</v>
      </c>
      <c r="N367">
        <f t="shared" si="15"/>
        <v>8556</v>
      </c>
      <c r="O367">
        <f t="shared" si="16"/>
        <v>3850</v>
      </c>
      <c r="P367" s="5">
        <f t="shared" si="17"/>
        <v>6275</v>
      </c>
      <c r="S367">
        <v>43284</v>
      </c>
      <c r="T367">
        <v>1348</v>
      </c>
    </row>
    <row r="368" spans="1:20" ht="15.75" thickBot="1" x14ac:dyDescent="0.3">
      <c r="A368" s="3">
        <v>46115</v>
      </c>
      <c r="B368" s="2" t="s">
        <v>19</v>
      </c>
      <c r="C368" s="2" t="s">
        <v>50</v>
      </c>
      <c r="D368" s="2" t="s">
        <v>51</v>
      </c>
      <c r="E368" s="2" t="s">
        <v>22</v>
      </c>
      <c r="F368" s="2">
        <v>1277955380444250</v>
      </c>
      <c r="G368" s="2">
        <v>1.2024229057228E+17</v>
      </c>
      <c r="H368" s="2">
        <v>1.2024270613878E+17</v>
      </c>
      <c r="I368" s="2">
        <v>1.202427061388E+17</v>
      </c>
      <c r="J368" s="2" t="s">
        <v>24</v>
      </c>
      <c r="K368" s="4">
        <v>8124</v>
      </c>
      <c r="L368">
        <v>148</v>
      </c>
      <c r="M368">
        <v>111.54</v>
      </c>
      <c r="N368">
        <f t="shared" si="15"/>
        <v>7312</v>
      </c>
      <c r="O368">
        <f t="shared" si="16"/>
        <v>3290</v>
      </c>
      <c r="P368" s="5">
        <f t="shared" si="17"/>
        <v>5362</v>
      </c>
      <c r="S368">
        <v>885097</v>
      </c>
      <c r="T368">
        <v>4371</v>
      </c>
    </row>
    <row r="369" spans="1:20" ht="15.75" thickBot="1" x14ac:dyDescent="0.3">
      <c r="A369" s="3">
        <v>46115</v>
      </c>
      <c r="B369" s="2" t="s">
        <v>19</v>
      </c>
      <c r="C369" s="2" t="s">
        <v>50</v>
      </c>
      <c r="D369" s="2" t="s">
        <v>51</v>
      </c>
      <c r="E369" s="2" t="s">
        <v>22</v>
      </c>
      <c r="F369" s="2">
        <v>1277955380444250</v>
      </c>
      <c r="G369" s="2">
        <v>1.2024229057228E+17</v>
      </c>
      <c r="H369" s="2">
        <v>1.2024270613878E+17</v>
      </c>
      <c r="I369" s="2">
        <v>1.202427061388E+17</v>
      </c>
      <c r="J369" s="2" t="s">
        <v>52</v>
      </c>
      <c r="K369" s="4">
        <v>6552</v>
      </c>
      <c r="L369">
        <v>539</v>
      </c>
      <c r="M369">
        <v>381.34</v>
      </c>
      <c r="N369">
        <f t="shared" si="15"/>
        <v>5897</v>
      </c>
      <c r="O369">
        <f t="shared" si="16"/>
        <v>2654</v>
      </c>
      <c r="P369" s="5">
        <f t="shared" si="17"/>
        <v>4324</v>
      </c>
      <c r="S369">
        <v>5</v>
      </c>
    </row>
    <row r="370" spans="1:20" ht="15.75" thickBot="1" x14ac:dyDescent="0.3">
      <c r="A370" s="3">
        <v>46115</v>
      </c>
      <c r="B370" s="2" t="s">
        <v>19</v>
      </c>
      <c r="C370" s="2" t="s">
        <v>50</v>
      </c>
      <c r="D370" s="2" t="s">
        <v>53</v>
      </c>
      <c r="E370" s="2" t="s">
        <v>22</v>
      </c>
      <c r="F370" s="2">
        <v>1277955380444250</v>
      </c>
      <c r="G370" s="2">
        <v>1.2024229057228E+17</v>
      </c>
      <c r="H370" s="2">
        <v>1.2024270613878E+17</v>
      </c>
      <c r="I370" s="2">
        <v>1.2024270613881E+17</v>
      </c>
      <c r="J370" s="2" t="s">
        <v>23</v>
      </c>
      <c r="K370" s="4">
        <v>9796</v>
      </c>
      <c r="L370">
        <v>825</v>
      </c>
      <c r="M370">
        <v>1477.1</v>
      </c>
      <c r="N370">
        <f t="shared" si="15"/>
        <v>8816</v>
      </c>
      <c r="O370">
        <f t="shared" si="16"/>
        <v>3967</v>
      </c>
      <c r="P370" s="5">
        <f t="shared" si="17"/>
        <v>6465</v>
      </c>
      <c r="S370">
        <v>417</v>
      </c>
      <c r="T370">
        <v>2</v>
      </c>
    </row>
    <row r="371" spans="1:20" ht="15.75" thickBot="1" x14ac:dyDescent="0.3">
      <c r="A371" s="3">
        <v>46115</v>
      </c>
      <c r="B371" s="2" t="s">
        <v>19</v>
      </c>
      <c r="C371" s="2" t="s">
        <v>50</v>
      </c>
      <c r="D371" s="2" t="s">
        <v>53</v>
      </c>
      <c r="E371" s="2" t="s">
        <v>22</v>
      </c>
      <c r="F371" s="2">
        <v>1277955380444250</v>
      </c>
      <c r="G371" s="2">
        <v>1.2024229057228E+17</v>
      </c>
      <c r="H371" s="2">
        <v>1.2024270613878E+17</v>
      </c>
      <c r="I371" s="2">
        <v>1.2024270613881E+17</v>
      </c>
      <c r="J371" s="2" t="s">
        <v>24</v>
      </c>
      <c r="K371" s="4">
        <v>4351</v>
      </c>
      <c r="L371">
        <v>187</v>
      </c>
      <c r="M371">
        <v>876.25</v>
      </c>
      <c r="N371">
        <f t="shared" si="15"/>
        <v>3916</v>
      </c>
      <c r="O371">
        <f t="shared" si="16"/>
        <v>1762</v>
      </c>
      <c r="P371" s="5">
        <f t="shared" si="17"/>
        <v>2872</v>
      </c>
      <c r="S371">
        <v>14743</v>
      </c>
      <c r="T371">
        <v>62</v>
      </c>
    </row>
    <row r="372" spans="1:20" ht="15.75" thickBot="1" x14ac:dyDescent="0.3">
      <c r="A372" s="3">
        <v>46115</v>
      </c>
      <c r="B372" s="2" t="s">
        <v>19</v>
      </c>
      <c r="C372" s="2" t="s">
        <v>50</v>
      </c>
      <c r="D372" s="2" t="s">
        <v>53</v>
      </c>
      <c r="E372" s="2" t="s">
        <v>22</v>
      </c>
      <c r="F372" s="2">
        <v>1277955380444250</v>
      </c>
      <c r="G372" s="2">
        <v>1.2024229057228E+17</v>
      </c>
      <c r="H372" s="2">
        <v>1.2024270613878E+17</v>
      </c>
      <c r="I372" s="2">
        <v>1.2024270613881E+17</v>
      </c>
      <c r="J372" s="2" t="s">
        <v>36</v>
      </c>
      <c r="K372" s="4">
        <v>2649</v>
      </c>
      <c r="L372">
        <v>69</v>
      </c>
      <c r="M372">
        <v>1022.93</v>
      </c>
      <c r="N372">
        <f t="shared" si="15"/>
        <v>2384</v>
      </c>
      <c r="O372">
        <f t="shared" si="16"/>
        <v>1073</v>
      </c>
      <c r="P372" s="5">
        <f t="shared" si="17"/>
        <v>1748</v>
      </c>
      <c r="S372">
        <v>94</v>
      </c>
      <c r="T372">
        <v>4</v>
      </c>
    </row>
    <row r="373" spans="1:20" ht="15.75" thickBot="1" x14ac:dyDescent="0.3">
      <c r="A373" s="3">
        <v>46115</v>
      </c>
      <c r="B373" s="2" t="s">
        <v>19</v>
      </c>
      <c r="C373" s="2" t="s">
        <v>50</v>
      </c>
      <c r="D373" s="2" t="s">
        <v>53</v>
      </c>
      <c r="E373" s="2" t="s">
        <v>22</v>
      </c>
      <c r="F373" s="2">
        <v>1277955380444250</v>
      </c>
      <c r="G373" s="2">
        <v>1.2024229057228E+17</v>
      </c>
      <c r="H373" s="2">
        <v>1.2024270613878E+17</v>
      </c>
      <c r="I373" s="2">
        <v>1.2024270613881E+17</v>
      </c>
      <c r="J373" s="2" t="s">
        <v>52</v>
      </c>
      <c r="K373" s="4">
        <v>8152</v>
      </c>
      <c r="L373">
        <v>277</v>
      </c>
      <c r="M373">
        <v>1183.48</v>
      </c>
      <c r="N373">
        <f t="shared" si="15"/>
        <v>7337</v>
      </c>
      <c r="O373">
        <f t="shared" si="16"/>
        <v>3302</v>
      </c>
      <c r="P373" s="5">
        <f t="shared" si="17"/>
        <v>5380</v>
      </c>
      <c r="S373">
        <v>2</v>
      </c>
    </row>
    <row r="374" spans="1:20" ht="15.75" thickBot="1" x14ac:dyDescent="0.3">
      <c r="A374" s="3">
        <v>46115</v>
      </c>
      <c r="B374" s="2" t="s">
        <v>19</v>
      </c>
      <c r="C374" s="2" t="s">
        <v>50</v>
      </c>
      <c r="D374" s="2" t="s">
        <v>54</v>
      </c>
      <c r="E374" s="2" t="s">
        <v>22</v>
      </c>
      <c r="F374" s="2">
        <v>1277955380444250</v>
      </c>
      <c r="G374" s="2">
        <v>1.2024229057228E+17</v>
      </c>
      <c r="H374" s="2">
        <v>1.2024270613878E+17</v>
      </c>
      <c r="I374" s="2">
        <v>1.2024270623134E+17</v>
      </c>
      <c r="J374" s="2" t="s">
        <v>23</v>
      </c>
      <c r="K374" s="4">
        <v>4638</v>
      </c>
      <c r="L374">
        <v>669</v>
      </c>
      <c r="M374">
        <v>1028.52</v>
      </c>
      <c r="N374">
        <f t="shared" si="15"/>
        <v>4174</v>
      </c>
      <c r="O374">
        <f t="shared" si="16"/>
        <v>1878</v>
      </c>
      <c r="P374" s="5">
        <f t="shared" si="17"/>
        <v>3061</v>
      </c>
      <c r="S374">
        <v>2119</v>
      </c>
      <c r="T374">
        <v>13</v>
      </c>
    </row>
    <row r="375" spans="1:20" ht="15.75" thickBot="1" x14ac:dyDescent="0.3">
      <c r="A375" s="3">
        <v>46115</v>
      </c>
      <c r="B375" s="2" t="s">
        <v>19</v>
      </c>
      <c r="C375" s="2" t="s">
        <v>50</v>
      </c>
      <c r="D375" s="2" t="s">
        <v>54</v>
      </c>
      <c r="E375" s="2" t="s">
        <v>22</v>
      </c>
      <c r="F375" s="2">
        <v>1277955380444250</v>
      </c>
      <c r="G375" s="2">
        <v>1.2024229057228E+17</v>
      </c>
      <c r="H375" s="2">
        <v>1.2024270613878E+17</v>
      </c>
      <c r="I375" s="2">
        <v>1.2024270623134E+17</v>
      </c>
      <c r="J375" s="2" t="s">
        <v>24</v>
      </c>
      <c r="K375" s="4">
        <v>7122</v>
      </c>
      <c r="L375">
        <v>62</v>
      </c>
      <c r="M375">
        <v>1130.07</v>
      </c>
      <c r="N375">
        <f t="shared" si="15"/>
        <v>6410</v>
      </c>
      <c r="O375">
        <f t="shared" si="16"/>
        <v>2885</v>
      </c>
      <c r="P375" s="5">
        <f t="shared" si="17"/>
        <v>4701</v>
      </c>
      <c r="S375">
        <v>166487</v>
      </c>
      <c r="T375">
        <v>659</v>
      </c>
    </row>
    <row r="376" spans="1:20" ht="15.75" thickBot="1" x14ac:dyDescent="0.3">
      <c r="A376" s="3">
        <v>46115</v>
      </c>
      <c r="B376" s="2" t="s">
        <v>19</v>
      </c>
      <c r="C376" s="2" t="s">
        <v>50</v>
      </c>
      <c r="D376" s="2" t="s">
        <v>54</v>
      </c>
      <c r="E376" s="2" t="s">
        <v>22</v>
      </c>
      <c r="F376" s="2">
        <v>1277955380444250</v>
      </c>
      <c r="G376" s="2">
        <v>1.2024229057228E+17</v>
      </c>
      <c r="H376" s="2">
        <v>1.2024270613878E+17</v>
      </c>
      <c r="I376" s="2">
        <v>1.2024270623134E+17</v>
      </c>
      <c r="J376" s="2" t="s">
        <v>36</v>
      </c>
      <c r="K376" s="4">
        <v>3830</v>
      </c>
      <c r="L376">
        <v>463</v>
      </c>
      <c r="M376">
        <v>1898.75</v>
      </c>
      <c r="N376">
        <f t="shared" si="15"/>
        <v>3447</v>
      </c>
      <c r="O376">
        <f t="shared" si="16"/>
        <v>1551</v>
      </c>
      <c r="P376" s="5">
        <f t="shared" si="17"/>
        <v>2528</v>
      </c>
      <c r="S376">
        <v>83</v>
      </c>
      <c r="T376">
        <v>2</v>
      </c>
    </row>
    <row r="377" spans="1:20" ht="15.75" thickBot="1" x14ac:dyDescent="0.3">
      <c r="A377" s="3">
        <v>46115</v>
      </c>
      <c r="B377" s="2" t="s">
        <v>19</v>
      </c>
      <c r="C377" s="2" t="s">
        <v>50</v>
      </c>
      <c r="D377" s="2" t="s">
        <v>54</v>
      </c>
      <c r="E377" s="2" t="s">
        <v>22</v>
      </c>
      <c r="F377" s="2">
        <v>1277955380444250</v>
      </c>
      <c r="G377" s="2">
        <v>1.2024229057228E+17</v>
      </c>
      <c r="H377" s="2">
        <v>1.2024270613878E+17</v>
      </c>
      <c r="I377" s="2">
        <v>1.2024270623134E+17</v>
      </c>
      <c r="J377" s="2" t="s">
        <v>52</v>
      </c>
      <c r="K377" s="4">
        <v>6365</v>
      </c>
      <c r="L377">
        <v>633</v>
      </c>
      <c r="M377">
        <v>247.87</v>
      </c>
      <c r="N377">
        <f t="shared" si="15"/>
        <v>5729</v>
      </c>
      <c r="O377">
        <f t="shared" si="16"/>
        <v>2578</v>
      </c>
      <c r="P377" s="5">
        <f t="shared" si="17"/>
        <v>4201</v>
      </c>
      <c r="S377">
        <v>3659</v>
      </c>
      <c r="T377">
        <v>67</v>
      </c>
    </row>
    <row r="378" spans="1:20" ht="15.75" thickBot="1" x14ac:dyDescent="0.3">
      <c r="A378" s="3">
        <v>46115</v>
      </c>
      <c r="B378" s="2" t="s">
        <v>25</v>
      </c>
      <c r="C378" s="2" t="s">
        <v>40</v>
      </c>
      <c r="D378" s="2" t="s">
        <v>64</v>
      </c>
      <c r="E378" s="2" t="s">
        <v>22</v>
      </c>
      <c r="F378" s="2">
        <v>1277955380444250</v>
      </c>
      <c r="G378" s="2">
        <v>1.2024231584645E+17</v>
      </c>
      <c r="H378" s="2">
        <v>1.2024246508913E+17</v>
      </c>
      <c r="I378" s="2">
        <v>1.2024297553794E+17</v>
      </c>
      <c r="J378" s="2" t="s">
        <v>23</v>
      </c>
      <c r="K378" s="4">
        <v>2023</v>
      </c>
      <c r="L378">
        <v>802</v>
      </c>
      <c r="M378">
        <v>1834.66</v>
      </c>
      <c r="N378">
        <f t="shared" si="15"/>
        <v>1821</v>
      </c>
      <c r="O378">
        <f t="shared" si="16"/>
        <v>819</v>
      </c>
      <c r="P378" s="5">
        <f t="shared" si="17"/>
        <v>1335</v>
      </c>
    </row>
    <row r="379" spans="1:20" ht="15.75" thickBot="1" x14ac:dyDescent="0.3">
      <c r="A379" s="3">
        <v>46115</v>
      </c>
      <c r="B379" s="2" t="s">
        <v>25</v>
      </c>
      <c r="C379" s="2" t="s">
        <v>40</v>
      </c>
      <c r="D379" s="2" t="s">
        <v>64</v>
      </c>
      <c r="E379" s="2" t="s">
        <v>22</v>
      </c>
      <c r="F379" s="2">
        <v>1277955380444250</v>
      </c>
      <c r="G379" s="2">
        <v>1.2024231584645E+17</v>
      </c>
      <c r="H379" s="2">
        <v>1.2024246508913E+17</v>
      </c>
      <c r="I379" s="2">
        <v>1.2024297553794E+17</v>
      </c>
      <c r="J379" s="2" t="s">
        <v>24</v>
      </c>
      <c r="K379" s="4">
        <v>1144</v>
      </c>
      <c r="L379">
        <v>361</v>
      </c>
      <c r="M379">
        <v>1205.2</v>
      </c>
      <c r="N379">
        <f t="shared" si="15"/>
        <v>1030</v>
      </c>
      <c r="O379">
        <f t="shared" si="16"/>
        <v>464</v>
      </c>
      <c r="P379" s="5">
        <f t="shared" si="17"/>
        <v>755</v>
      </c>
    </row>
    <row r="380" spans="1:20" ht="15.75" thickBot="1" x14ac:dyDescent="0.3">
      <c r="A380" s="3">
        <v>46115</v>
      </c>
      <c r="B380" s="2" t="s">
        <v>25</v>
      </c>
      <c r="C380" s="2" t="s">
        <v>40</v>
      </c>
      <c r="D380" s="2" t="s">
        <v>61</v>
      </c>
      <c r="E380" s="2" t="s">
        <v>22</v>
      </c>
      <c r="F380" s="2">
        <v>1277955380444250</v>
      </c>
      <c r="G380" s="2">
        <v>1.2024231584645E+17</v>
      </c>
      <c r="H380" s="2">
        <v>1.2024246508913E+17</v>
      </c>
      <c r="I380" s="2">
        <v>1.2024294401448E+17</v>
      </c>
      <c r="J380" s="2" t="s">
        <v>23</v>
      </c>
      <c r="K380" s="4">
        <v>6513</v>
      </c>
      <c r="L380">
        <v>723</v>
      </c>
      <c r="M380">
        <v>1086.47</v>
      </c>
      <c r="N380">
        <f t="shared" si="15"/>
        <v>5862</v>
      </c>
      <c r="O380">
        <f t="shared" si="16"/>
        <v>2638</v>
      </c>
      <c r="P380" s="5">
        <f t="shared" si="17"/>
        <v>4299</v>
      </c>
    </row>
    <row r="381" spans="1:20" ht="15.75" thickBot="1" x14ac:dyDescent="0.3">
      <c r="A381" s="3">
        <v>46115</v>
      </c>
      <c r="B381" s="2" t="s">
        <v>25</v>
      </c>
      <c r="C381" s="2" t="s">
        <v>40</v>
      </c>
      <c r="D381" s="2" t="s">
        <v>61</v>
      </c>
      <c r="E381" s="2" t="s">
        <v>22</v>
      </c>
      <c r="F381" s="2">
        <v>1277955380444250</v>
      </c>
      <c r="G381" s="2">
        <v>1.2024231584645E+17</v>
      </c>
      <c r="H381" s="2">
        <v>1.2024246508913E+17</v>
      </c>
      <c r="I381" s="2">
        <v>1.2024294401448E+17</v>
      </c>
      <c r="J381" s="2" t="s">
        <v>24</v>
      </c>
      <c r="K381" s="4">
        <v>1941</v>
      </c>
      <c r="L381">
        <v>72</v>
      </c>
      <c r="M381">
        <v>1972.78</v>
      </c>
      <c r="N381">
        <f t="shared" si="15"/>
        <v>1747</v>
      </c>
      <c r="O381">
        <f t="shared" si="16"/>
        <v>786</v>
      </c>
      <c r="P381" s="5">
        <f t="shared" si="17"/>
        <v>1281</v>
      </c>
    </row>
    <row r="382" spans="1:20" ht="15.75" thickBot="1" x14ac:dyDescent="0.3">
      <c r="A382" s="3">
        <v>46115</v>
      </c>
      <c r="B382" s="2" t="s">
        <v>25</v>
      </c>
      <c r="C382" s="2" t="s">
        <v>40</v>
      </c>
      <c r="D382" s="2" t="s">
        <v>61</v>
      </c>
      <c r="E382" s="2" t="s">
        <v>22</v>
      </c>
      <c r="F382" s="2">
        <v>1277955380444250</v>
      </c>
      <c r="G382" s="2">
        <v>1.2024231584645E+17</v>
      </c>
      <c r="H382" s="2">
        <v>1.2024246508913E+17</v>
      </c>
      <c r="I382" s="2">
        <v>1.2024294401448E+17</v>
      </c>
      <c r="J382" s="2" t="s">
        <v>46</v>
      </c>
      <c r="K382" s="4">
        <v>8595</v>
      </c>
      <c r="L382">
        <v>756</v>
      </c>
      <c r="M382">
        <v>625.86</v>
      </c>
      <c r="N382">
        <f t="shared" si="15"/>
        <v>7736</v>
      </c>
      <c r="O382">
        <f t="shared" si="16"/>
        <v>3481</v>
      </c>
      <c r="P382" s="5">
        <f t="shared" si="17"/>
        <v>5673</v>
      </c>
    </row>
    <row r="383" spans="1:20" ht="15.75" thickBot="1" x14ac:dyDescent="0.3">
      <c r="A383" s="3">
        <v>46115</v>
      </c>
      <c r="B383" s="2" t="s">
        <v>25</v>
      </c>
      <c r="C383" s="2" t="s">
        <v>28</v>
      </c>
      <c r="D383" s="2" t="s">
        <v>65</v>
      </c>
      <c r="E383" s="2" t="s">
        <v>22</v>
      </c>
      <c r="F383" s="2">
        <v>1277955380444250</v>
      </c>
      <c r="G383" s="2">
        <v>1.2024231584645E+17</v>
      </c>
      <c r="H383" s="2">
        <v>1.2024231613167E+17</v>
      </c>
      <c r="I383" s="2">
        <v>1.2024294474555E+17</v>
      </c>
      <c r="J383" s="2" t="s">
        <v>23</v>
      </c>
      <c r="K383" s="4">
        <v>6657</v>
      </c>
      <c r="L383">
        <v>308</v>
      </c>
      <c r="M383">
        <v>1256.8699999999999</v>
      </c>
      <c r="N383">
        <f t="shared" si="15"/>
        <v>5991</v>
      </c>
      <c r="O383">
        <f t="shared" si="16"/>
        <v>2696</v>
      </c>
      <c r="P383" s="5">
        <f t="shared" si="17"/>
        <v>4394</v>
      </c>
    </row>
    <row r="384" spans="1:20" ht="15.75" thickBot="1" x14ac:dyDescent="0.3">
      <c r="A384" s="3">
        <v>46115</v>
      </c>
      <c r="B384" s="2" t="s">
        <v>25</v>
      </c>
      <c r="C384" s="2" t="s">
        <v>28</v>
      </c>
      <c r="D384" s="2" t="s">
        <v>65</v>
      </c>
      <c r="E384" s="2" t="s">
        <v>22</v>
      </c>
      <c r="F384" s="2">
        <v>1277955380444250</v>
      </c>
      <c r="G384" s="2">
        <v>1.2024231584645E+17</v>
      </c>
      <c r="H384" s="2">
        <v>1.2024231613167E+17</v>
      </c>
      <c r="I384" s="2">
        <v>1.2024294474555E+17</v>
      </c>
      <c r="J384" s="2" t="s">
        <v>24</v>
      </c>
      <c r="K384" s="4">
        <v>7594</v>
      </c>
      <c r="L384">
        <v>387</v>
      </c>
      <c r="M384">
        <v>359.6</v>
      </c>
      <c r="N384">
        <f t="shared" si="15"/>
        <v>6835</v>
      </c>
      <c r="O384">
        <f t="shared" si="16"/>
        <v>3076</v>
      </c>
      <c r="P384" s="5">
        <f t="shared" si="17"/>
        <v>5012</v>
      </c>
    </row>
    <row r="385" spans="1:20" ht="15.75" thickBot="1" x14ac:dyDescent="0.3">
      <c r="A385" s="3">
        <v>46115</v>
      </c>
      <c r="B385" s="2" t="s">
        <v>25</v>
      </c>
      <c r="C385" s="2" t="s">
        <v>30</v>
      </c>
      <c r="D385" s="2" t="s">
        <v>66</v>
      </c>
      <c r="E385" s="2" t="s">
        <v>22</v>
      </c>
      <c r="F385" s="2">
        <v>1277955380444250</v>
      </c>
      <c r="G385" s="2">
        <v>1.2024231584645E+17</v>
      </c>
      <c r="H385" s="2">
        <v>1.2024231592817E+17</v>
      </c>
      <c r="I385" s="2">
        <v>1.2024297479832E+17</v>
      </c>
      <c r="J385" s="2" t="s">
        <v>23</v>
      </c>
      <c r="K385" s="4">
        <v>7332</v>
      </c>
      <c r="L385">
        <v>640</v>
      </c>
      <c r="M385">
        <v>1374.02</v>
      </c>
      <c r="N385">
        <f t="shared" si="15"/>
        <v>6599</v>
      </c>
      <c r="O385">
        <f t="shared" si="16"/>
        <v>2970</v>
      </c>
      <c r="P385" s="5">
        <f t="shared" si="17"/>
        <v>4839</v>
      </c>
    </row>
    <row r="386" spans="1:20" ht="15.75" thickBot="1" x14ac:dyDescent="0.3">
      <c r="A386" s="3">
        <v>46115</v>
      </c>
      <c r="B386" s="2" t="s">
        <v>25</v>
      </c>
      <c r="C386" s="2" t="s">
        <v>30</v>
      </c>
      <c r="D386" s="2" t="s">
        <v>66</v>
      </c>
      <c r="E386" s="2" t="s">
        <v>22</v>
      </c>
      <c r="F386" s="2">
        <v>1277955380444250</v>
      </c>
      <c r="G386" s="2">
        <v>1.2024231584645E+17</v>
      </c>
      <c r="H386" s="2">
        <v>1.2024231592817E+17</v>
      </c>
      <c r="I386" s="2">
        <v>1.2024297479832E+17</v>
      </c>
      <c r="J386" s="2" t="s">
        <v>24</v>
      </c>
      <c r="K386" s="4">
        <v>3980</v>
      </c>
      <c r="L386">
        <v>219</v>
      </c>
      <c r="M386">
        <v>1745.75</v>
      </c>
      <c r="N386">
        <f t="shared" si="15"/>
        <v>3582</v>
      </c>
      <c r="O386">
        <f t="shared" si="16"/>
        <v>1612</v>
      </c>
      <c r="P386" s="5">
        <f t="shared" si="17"/>
        <v>2627</v>
      </c>
    </row>
    <row r="387" spans="1:20" ht="15.75" thickBot="1" x14ac:dyDescent="0.3">
      <c r="A387" s="3">
        <v>46115</v>
      </c>
      <c r="B387" s="2" t="s">
        <v>25</v>
      </c>
      <c r="C387" s="2" t="s">
        <v>30</v>
      </c>
      <c r="D387" s="2" t="s">
        <v>38</v>
      </c>
      <c r="E387" s="2" t="s">
        <v>22</v>
      </c>
      <c r="F387" s="2">
        <v>1277955380444250</v>
      </c>
      <c r="G387" s="2">
        <v>1.2024231584645E+17</v>
      </c>
      <c r="H387" s="2">
        <v>1.2024231592817E+17</v>
      </c>
      <c r="I387" s="2">
        <v>1.202423571795E+17</v>
      </c>
      <c r="J387" s="2" t="s">
        <v>24</v>
      </c>
      <c r="K387" s="4">
        <v>8973</v>
      </c>
      <c r="L387">
        <v>74</v>
      </c>
      <c r="M387">
        <v>1271.48</v>
      </c>
      <c r="N387">
        <f t="shared" ref="N387:N450" si="18">ROUND(K387*0.9,0)</f>
        <v>8076</v>
      </c>
      <c r="O387">
        <f t="shared" ref="O387:O450" si="19">ROUND(N387*0.45,0)</f>
        <v>3634</v>
      </c>
      <c r="P387" s="5">
        <f t="shared" ref="P387:P450" si="20">ROUND(K387*0.66,0)</f>
        <v>5922</v>
      </c>
    </row>
    <row r="388" spans="1:20" ht="15.75" thickBot="1" x14ac:dyDescent="0.3">
      <c r="A388" s="3">
        <v>46115</v>
      </c>
      <c r="B388" s="2" t="s">
        <v>25</v>
      </c>
      <c r="C388" s="2" t="s">
        <v>32</v>
      </c>
      <c r="D388" s="2" t="s">
        <v>67</v>
      </c>
      <c r="E388" s="2" t="s">
        <v>22</v>
      </c>
      <c r="F388" s="2">
        <v>1277955380444250</v>
      </c>
      <c r="G388" s="2">
        <v>1.2024231584645E+17</v>
      </c>
      <c r="H388" s="2">
        <v>1.2024231584646E+17</v>
      </c>
      <c r="I388" s="2">
        <v>1.2024294450961E+17</v>
      </c>
      <c r="J388" s="2" t="s">
        <v>23</v>
      </c>
      <c r="K388" s="4">
        <v>7226</v>
      </c>
      <c r="L388">
        <v>445</v>
      </c>
      <c r="M388">
        <v>166.86</v>
      </c>
      <c r="N388">
        <f t="shared" si="18"/>
        <v>6503</v>
      </c>
      <c r="O388">
        <f t="shared" si="19"/>
        <v>2926</v>
      </c>
      <c r="P388" s="5">
        <f t="shared" si="20"/>
        <v>4769</v>
      </c>
    </row>
    <row r="389" spans="1:20" ht="15.75" thickBot="1" x14ac:dyDescent="0.3">
      <c r="A389" s="3">
        <v>46115</v>
      </c>
      <c r="B389" s="2" t="s">
        <v>25</v>
      </c>
      <c r="C389" s="2" t="s">
        <v>32</v>
      </c>
      <c r="D389" s="2" t="s">
        <v>67</v>
      </c>
      <c r="E389" s="2" t="s">
        <v>22</v>
      </c>
      <c r="F389" s="2">
        <v>1277955380444250</v>
      </c>
      <c r="G389" s="2">
        <v>1.2024231584645E+17</v>
      </c>
      <c r="H389" s="2">
        <v>1.2024231584646E+17</v>
      </c>
      <c r="I389" s="2">
        <v>1.2024294450961E+17</v>
      </c>
      <c r="J389" s="2" t="s">
        <v>24</v>
      </c>
      <c r="K389" s="4">
        <v>8171</v>
      </c>
      <c r="L389">
        <v>789</v>
      </c>
      <c r="M389">
        <v>121.3</v>
      </c>
      <c r="N389">
        <f t="shared" si="18"/>
        <v>7354</v>
      </c>
      <c r="O389">
        <f t="shared" si="19"/>
        <v>3309</v>
      </c>
      <c r="P389" s="5">
        <f t="shared" si="20"/>
        <v>5393</v>
      </c>
    </row>
    <row r="390" spans="1:20" ht="15.75" thickBot="1" x14ac:dyDescent="0.3">
      <c r="A390" s="3">
        <v>46115</v>
      </c>
      <c r="B390" s="2" t="s">
        <v>56</v>
      </c>
      <c r="C390" s="2" t="s">
        <v>57</v>
      </c>
      <c r="D390" s="2" t="s">
        <v>63</v>
      </c>
      <c r="E390" s="2" t="s">
        <v>22</v>
      </c>
      <c r="F390" s="2">
        <v>1277955380444250</v>
      </c>
      <c r="G390" s="2">
        <v>1.2024270854698E+17</v>
      </c>
      <c r="H390" s="2">
        <v>1.2024270854697E+17</v>
      </c>
      <c r="I390" s="2">
        <v>1.2024294325528E+17</v>
      </c>
      <c r="J390" s="2" t="s">
        <v>23</v>
      </c>
      <c r="K390" s="4">
        <v>7194</v>
      </c>
      <c r="L390">
        <v>219</v>
      </c>
      <c r="M390">
        <v>749.6</v>
      </c>
      <c r="N390">
        <f t="shared" si="18"/>
        <v>6475</v>
      </c>
      <c r="O390">
        <f t="shared" si="19"/>
        <v>2914</v>
      </c>
      <c r="P390" s="5">
        <f t="shared" si="20"/>
        <v>4748</v>
      </c>
    </row>
    <row r="391" spans="1:20" ht="15.75" thickBot="1" x14ac:dyDescent="0.3">
      <c r="A391" s="3">
        <v>46115</v>
      </c>
      <c r="B391" s="2" t="s">
        <v>56</v>
      </c>
      <c r="C391" s="2" t="s">
        <v>57</v>
      </c>
      <c r="D391" s="2" t="s">
        <v>63</v>
      </c>
      <c r="E391" s="2" t="s">
        <v>22</v>
      </c>
      <c r="F391" s="2">
        <v>1277955380444250</v>
      </c>
      <c r="G391" s="2">
        <v>1.2024270854698E+17</v>
      </c>
      <c r="H391" s="2">
        <v>1.2024270854697E+17</v>
      </c>
      <c r="I391" s="2">
        <v>1.2024294325528E+17</v>
      </c>
      <c r="J391" s="2" t="s">
        <v>24</v>
      </c>
      <c r="K391" s="4">
        <v>4368</v>
      </c>
      <c r="L391">
        <v>497</v>
      </c>
      <c r="M391">
        <v>1903.1</v>
      </c>
      <c r="N391">
        <f t="shared" si="18"/>
        <v>3931</v>
      </c>
      <c r="O391">
        <f t="shared" si="19"/>
        <v>1769</v>
      </c>
      <c r="P391" s="5">
        <f t="shared" si="20"/>
        <v>2883</v>
      </c>
    </row>
    <row r="392" spans="1:20" ht="15.75" thickBot="1" x14ac:dyDescent="0.3">
      <c r="A392" s="3">
        <v>46115</v>
      </c>
      <c r="B392" s="2" t="s">
        <v>56</v>
      </c>
      <c r="C392" s="2" t="s">
        <v>57</v>
      </c>
      <c r="D392" s="2" t="s">
        <v>63</v>
      </c>
      <c r="E392" s="2" t="s">
        <v>22</v>
      </c>
      <c r="F392" s="2">
        <v>1277955380444250</v>
      </c>
      <c r="G392" s="2">
        <v>1.2024270854698E+17</v>
      </c>
      <c r="H392" s="2">
        <v>1.2024270854697E+17</v>
      </c>
      <c r="I392" s="2">
        <v>1.2024294325528E+17</v>
      </c>
      <c r="J392" s="2" t="s">
        <v>46</v>
      </c>
      <c r="K392" s="4">
        <v>6837</v>
      </c>
      <c r="L392">
        <v>763</v>
      </c>
      <c r="M392">
        <v>754.81</v>
      </c>
      <c r="N392">
        <f t="shared" si="18"/>
        <v>6153</v>
      </c>
      <c r="O392">
        <f t="shared" si="19"/>
        <v>2769</v>
      </c>
      <c r="P392" s="5">
        <f t="shared" si="20"/>
        <v>4512</v>
      </c>
    </row>
    <row r="393" spans="1:20" ht="15.75" thickBot="1" x14ac:dyDescent="0.3">
      <c r="A393" s="3">
        <v>46116</v>
      </c>
      <c r="B393" s="2" t="s">
        <v>47</v>
      </c>
      <c r="C393" s="2" t="s">
        <v>48</v>
      </c>
      <c r="D393" s="2" t="s">
        <v>59</v>
      </c>
      <c r="E393" s="2" t="s">
        <v>22</v>
      </c>
      <c r="F393" s="2">
        <v>1277955380444250</v>
      </c>
      <c r="G393" s="2">
        <v>1.2024261720294E+17</v>
      </c>
      <c r="H393" s="2">
        <v>1.2024261720296E+17</v>
      </c>
      <c r="I393" s="2">
        <v>1.2024292230769E+17</v>
      </c>
      <c r="J393" s="2" t="s">
        <v>24</v>
      </c>
      <c r="K393" s="4">
        <v>2770</v>
      </c>
      <c r="L393">
        <v>785</v>
      </c>
      <c r="M393">
        <v>1224.71</v>
      </c>
      <c r="N393">
        <f t="shared" si="18"/>
        <v>2493</v>
      </c>
      <c r="O393">
        <f t="shared" si="19"/>
        <v>1122</v>
      </c>
      <c r="P393" s="5">
        <f t="shared" si="20"/>
        <v>1828</v>
      </c>
      <c r="R393">
        <v>21</v>
      </c>
      <c r="S393">
        <v>50</v>
      </c>
      <c r="T393">
        <v>20</v>
      </c>
    </row>
    <row r="394" spans="1:20" ht="15.75" thickBot="1" x14ac:dyDescent="0.3">
      <c r="A394" s="3">
        <v>46116</v>
      </c>
      <c r="B394" s="2" t="s">
        <v>47</v>
      </c>
      <c r="C394" s="2" t="s">
        <v>48</v>
      </c>
      <c r="D394" s="2" t="s">
        <v>49</v>
      </c>
      <c r="E394" s="2" t="s">
        <v>22</v>
      </c>
      <c r="F394" s="2">
        <v>1277955380444250</v>
      </c>
      <c r="G394" s="2">
        <v>1.2024261720294E+17</v>
      </c>
      <c r="H394" s="2">
        <v>1.2024261720296E+17</v>
      </c>
      <c r="I394" s="2">
        <v>1.2024261720295E+17</v>
      </c>
      <c r="J394" s="2" t="s">
        <v>23</v>
      </c>
      <c r="K394" s="4">
        <v>3528</v>
      </c>
      <c r="L394">
        <v>718</v>
      </c>
      <c r="M394">
        <v>1106.3900000000001</v>
      </c>
      <c r="N394">
        <f t="shared" si="18"/>
        <v>3175</v>
      </c>
      <c r="O394">
        <f t="shared" si="19"/>
        <v>1429</v>
      </c>
      <c r="P394" s="5">
        <f t="shared" si="20"/>
        <v>2328</v>
      </c>
      <c r="R394">
        <v>1</v>
      </c>
      <c r="S394">
        <v>52</v>
      </c>
      <c r="T394">
        <v>9</v>
      </c>
    </row>
    <row r="395" spans="1:20" ht="15.75" thickBot="1" x14ac:dyDescent="0.3">
      <c r="A395" s="3">
        <v>46116</v>
      </c>
      <c r="B395" s="2" t="s">
        <v>47</v>
      </c>
      <c r="C395" s="2" t="s">
        <v>48</v>
      </c>
      <c r="D395" s="2" t="s">
        <v>49</v>
      </c>
      <c r="E395" s="2" t="s">
        <v>22</v>
      </c>
      <c r="F395" s="2">
        <v>1277955380444250</v>
      </c>
      <c r="G395" s="2">
        <v>1.2024261720294E+17</v>
      </c>
      <c r="H395" s="2">
        <v>1.2024261720296E+17</v>
      </c>
      <c r="I395" s="2">
        <v>1.2024261720295E+17</v>
      </c>
      <c r="J395" s="2" t="s">
        <v>24</v>
      </c>
      <c r="K395" s="4">
        <v>3784</v>
      </c>
      <c r="L395">
        <v>834</v>
      </c>
      <c r="M395">
        <v>959.39</v>
      </c>
      <c r="N395">
        <f t="shared" si="18"/>
        <v>3406</v>
      </c>
      <c r="O395">
        <f t="shared" si="19"/>
        <v>1533</v>
      </c>
      <c r="P395" s="5">
        <f t="shared" si="20"/>
        <v>2497</v>
      </c>
      <c r="R395">
        <v>6322</v>
      </c>
      <c r="S395">
        <v>8892</v>
      </c>
      <c r="T395">
        <v>2262</v>
      </c>
    </row>
    <row r="396" spans="1:20" ht="15.75" thickBot="1" x14ac:dyDescent="0.3">
      <c r="A396" s="3">
        <v>46116</v>
      </c>
      <c r="B396" s="2" t="s">
        <v>47</v>
      </c>
      <c r="C396" s="2" t="s">
        <v>48</v>
      </c>
      <c r="D396" s="2" t="s">
        <v>60</v>
      </c>
      <c r="E396" s="2" t="s">
        <v>22</v>
      </c>
      <c r="F396" s="2">
        <v>1277955380444250</v>
      </c>
      <c r="G396" s="2">
        <v>1.2024261720294E+17</v>
      </c>
      <c r="H396" s="2">
        <v>1.2024261720296E+17</v>
      </c>
      <c r="I396" s="2">
        <v>1.2024292195261E+17</v>
      </c>
      <c r="J396" s="2" t="s">
        <v>23</v>
      </c>
      <c r="K396" s="4">
        <v>1752</v>
      </c>
      <c r="L396">
        <v>814</v>
      </c>
      <c r="M396">
        <v>662.29</v>
      </c>
      <c r="N396">
        <f t="shared" si="18"/>
        <v>1577</v>
      </c>
      <c r="O396">
        <f t="shared" si="19"/>
        <v>710</v>
      </c>
      <c r="P396" s="5">
        <f t="shared" si="20"/>
        <v>1156</v>
      </c>
      <c r="R396">
        <v>26478</v>
      </c>
      <c r="S396">
        <v>69127</v>
      </c>
      <c r="T396">
        <v>11702</v>
      </c>
    </row>
    <row r="397" spans="1:20" ht="15.75" thickBot="1" x14ac:dyDescent="0.3">
      <c r="A397" s="3">
        <v>46116</v>
      </c>
      <c r="B397" s="2" t="s">
        <v>47</v>
      </c>
      <c r="C397" s="2" t="s">
        <v>48</v>
      </c>
      <c r="D397" s="2" t="s">
        <v>60</v>
      </c>
      <c r="E397" s="2" t="s">
        <v>22</v>
      </c>
      <c r="F397" s="2">
        <v>1277955380444250</v>
      </c>
      <c r="G397" s="2">
        <v>1.2024261720294E+17</v>
      </c>
      <c r="H397" s="2">
        <v>1.2024261720296E+17</v>
      </c>
      <c r="I397" s="2">
        <v>1.2024292195261E+17</v>
      </c>
      <c r="J397" s="2" t="s">
        <v>24</v>
      </c>
      <c r="K397" s="4">
        <v>2027</v>
      </c>
      <c r="L397">
        <v>176</v>
      </c>
      <c r="M397">
        <v>1701.68</v>
      </c>
      <c r="N397">
        <f t="shared" si="18"/>
        <v>1824</v>
      </c>
      <c r="O397">
        <f t="shared" si="19"/>
        <v>821</v>
      </c>
      <c r="P397" s="5">
        <f t="shared" si="20"/>
        <v>1338</v>
      </c>
      <c r="R397">
        <v>1478204</v>
      </c>
      <c r="S397">
        <v>3899570</v>
      </c>
      <c r="T397">
        <v>957929</v>
      </c>
    </row>
    <row r="398" spans="1:20" ht="15.75" thickBot="1" x14ac:dyDescent="0.3">
      <c r="A398" s="3">
        <v>46116</v>
      </c>
      <c r="B398" s="2" t="s">
        <v>19</v>
      </c>
      <c r="C398" s="2" t="s">
        <v>20</v>
      </c>
      <c r="D398" s="2" t="s">
        <v>21</v>
      </c>
      <c r="E398" s="2" t="s">
        <v>22</v>
      </c>
      <c r="F398" s="2">
        <v>1277955380444250</v>
      </c>
      <c r="G398" s="2">
        <v>1.2024229057228E+17</v>
      </c>
      <c r="H398" s="2">
        <v>1.2024229057229E+17</v>
      </c>
      <c r="I398" s="2">
        <v>1.2024229057227E+17</v>
      </c>
      <c r="J398" s="2" t="s">
        <v>23</v>
      </c>
      <c r="K398" s="4">
        <v>4686</v>
      </c>
      <c r="L398">
        <v>386</v>
      </c>
      <c r="M398">
        <v>1157.71</v>
      </c>
      <c r="N398">
        <f t="shared" si="18"/>
        <v>4217</v>
      </c>
      <c r="O398">
        <f t="shared" si="19"/>
        <v>1898</v>
      </c>
      <c r="P398" s="5">
        <f t="shared" si="20"/>
        <v>3093</v>
      </c>
      <c r="S398">
        <v>360</v>
      </c>
      <c r="T398">
        <v>7</v>
      </c>
    </row>
    <row r="399" spans="1:20" ht="15.75" thickBot="1" x14ac:dyDescent="0.3">
      <c r="A399" s="3">
        <v>46116</v>
      </c>
      <c r="B399" s="2" t="s">
        <v>19</v>
      </c>
      <c r="C399" s="2" t="s">
        <v>20</v>
      </c>
      <c r="D399" s="2" t="s">
        <v>21</v>
      </c>
      <c r="E399" s="2" t="s">
        <v>22</v>
      </c>
      <c r="F399" s="2">
        <v>1277955380444250</v>
      </c>
      <c r="G399" s="2">
        <v>1.2024229057228E+17</v>
      </c>
      <c r="H399" s="2">
        <v>1.2024229057229E+17</v>
      </c>
      <c r="I399" s="2">
        <v>1.2024229057227E+17</v>
      </c>
      <c r="J399" s="2" t="s">
        <v>24</v>
      </c>
      <c r="K399" s="4">
        <v>1692</v>
      </c>
      <c r="L399">
        <v>954</v>
      </c>
      <c r="M399">
        <v>1437.87</v>
      </c>
      <c r="N399">
        <f t="shared" si="18"/>
        <v>1523</v>
      </c>
      <c r="O399">
        <f t="shared" si="19"/>
        <v>685</v>
      </c>
      <c r="P399" s="5">
        <f t="shared" si="20"/>
        <v>1117</v>
      </c>
      <c r="S399">
        <v>92640</v>
      </c>
      <c r="T399">
        <v>324</v>
      </c>
    </row>
    <row r="400" spans="1:20" ht="15.75" thickBot="1" x14ac:dyDescent="0.3">
      <c r="A400" s="3">
        <v>46116</v>
      </c>
      <c r="B400" s="2" t="s">
        <v>19</v>
      </c>
      <c r="C400" s="2" t="s">
        <v>20</v>
      </c>
      <c r="D400" s="2" t="s">
        <v>34</v>
      </c>
      <c r="E400" s="2" t="s">
        <v>22</v>
      </c>
      <c r="F400" s="2">
        <v>1277955380444250</v>
      </c>
      <c r="G400" s="2">
        <v>1.2024229057228E+17</v>
      </c>
      <c r="H400" s="2">
        <v>1.2024229057229E+17</v>
      </c>
      <c r="I400" s="2">
        <v>1.2024229334046E+17</v>
      </c>
      <c r="J400" s="2" t="s">
        <v>23</v>
      </c>
      <c r="K400" s="4">
        <v>7750</v>
      </c>
      <c r="L400">
        <v>660</v>
      </c>
      <c r="M400">
        <v>1743.82</v>
      </c>
      <c r="N400">
        <f t="shared" si="18"/>
        <v>6975</v>
      </c>
      <c r="O400">
        <f t="shared" si="19"/>
        <v>3139</v>
      </c>
      <c r="P400" s="5">
        <f t="shared" si="20"/>
        <v>5115</v>
      </c>
      <c r="S400">
        <v>158</v>
      </c>
      <c r="T400">
        <v>1</v>
      </c>
    </row>
    <row r="401" spans="1:20" ht="15.75" thickBot="1" x14ac:dyDescent="0.3">
      <c r="A401" s="3">
        <v>46116</v>
      </c>
      <c r="B401" s="2" t="s">
        <v>19</v>
      </c>
      <c r="C401" s="2" t="s">
        <v>20</v>
      </c>
      <c r="D401" s="2" t="s">
        <v>34</v>
      </c>
      <c r="E401" s="2" t="s">
        <v>22</v>
      </c>
      <c r="F401" s="2">
        <v>1277955380444250</v>
      </c>
      <c r="G401" s="2">
        <v>1.2024229057228E+17</v>
      </c>
      <c r="H401" s="2">
        <v>1.2024229057229E+17</v>
      </c>
      <c r="I401" s="2">
        <v>1.2024229334046E+17</v>
      </c>
      <c r="J401" s="2" t="s">
        <v>24</v>
      </c>
      <c r="K401" s="4">
        <v>3521</v>
      </c>
      <c r="L401">
        <v>326</v>
      </c>
      <c r="M401">
        <v>926.82</v>
      </c>
      <c r="N401">
        <f t="shared" si="18"/>
        <v>3169</v>
      </c>
      <c r="O401">
        <f t="shared" si="19"/>
        <v>1426</v>
      </c>
      <c r="P401" s="5">
        <f t="shared" si="20"/>
        <v>2324</v>
      </c>
      <c r="S401">
        <v>128082</v>
      </c>
      <c r="T401">
        <v>531</v>
      </c>
    </row>
    <row r="402" spans="1:20" ht="15.75" thickBot="1" x14ac:dyDescent="0.3">
      <c r="A402" s="3">
        <v>46116</v>
      </c>
      <c r="B402" s="2" t="s">
        <v>19</v>
      </c>
      <c r="C402" s="2" t="s">
        <v>50</v>
      </c>
      <c r="D402" s="2" t="s">
        <v>51</v>
      </c>
      <c r="E402" s="2" t="s">
        <v>22</v>
      </c>
      <c r="F402" s="2">
        <v>1277955380444250</v>
      </c>
      <c r="G402" s="2">
        <v>1.2024229057228E+17</v>
      </c>
      <c r="H402" s="2">
        <v>1.2024270613878E+17</v>
      </c>
      <c r="I402" s="2">
        <v>1.202427061388E+17</v>
      </c>
      <c r="J402" s="2" t="s">
        <v>23</v>
      </c>
      <c r="K402" s="4">
        <v>6493</v>
      </c>
      <c r="L402">
        <v>774</v>
      </c>
      <c r="M402">
        <v>441.81</v>
      </c>
      <c r="N402">
        <f t="shared" si="18"/>
        <v>5844</v>
      </c>
      <c r="O402">
        <f t="shared" si="19"/>
        <v>2630</v>
      </c>
      <c r="P402" s="5">
        <f t="shared" si="20"/>
        <v>4285</v>
      </c>
      <c r="S402">
        <v>21870</v>
      </c>
      <c r="T402">
        <v>580</v>
      </c>
    </row>
    <row r="403" spans="1:20" ht="15.75" thickBot="1" x14ac:dyDescent="0.3">
      <c r="A403" s="3">
        <v>46116</v>
      </c>
      <c r="B403" s="2" t="s">
        <v>19</v>
      </c>
      <c r="C403" s="2" t="s">
        <v>50</v>
      </c>
      <c r="D403" s="2" t="s">
        <v>51</v>
      </c>
      <c r="E403" s="2" t="s">
        <v>22</v>
      </c>
      <c r="F403" s="2">
        <v>1277955380444250</v>
      </c>
      <c r="G403" s="2">
        <v>1.2024229057228E+17</v>
      </c>
      <c r="H403" s="2">
        <v>1.2024270613878E+17</v>
      </c>
      <c r="I403" s="2">
        <v>1.202427061388E+17</v>
      </c>
      <c r="J403" s="2" t="s">
        <v>24</v>
      </c>
      <c r="K403" s="4">
        <v>3659</v>
      </c>
      <c r="L403">
        <v>618</v>
      </c>
      <c r="M403">
        <v>1222.96</v>
      </c>
      <c r="N403">
        <f t="shared" si="18"/>
        <v>3293</v>
      </c>
      <c r="O403">
        <f t="shared" si="19"/>
        <v>1482</v>
      </c>
      <c r="P403" s="5">
        <f t="shared" si="20"/>
        <v>2415</v>
      </c>
      <c r="S403">
        <v>942509</v>
      </c>
      <c r="T403">
        <v>4937</v>
      </c>
    </row>
    <row r="404" spans="1:20" ht="15.75" thickBot="1" x14ac:dyDescent="0.3">
      <c r="A404" s="3">
        <v>46116</v>
      </c>
      <c r="B404" s="2" t="s">
        <v>19</v>
      </c>
      <c r="C404" s="2" t="s">
        <v>50</v>
      </c>
      <c r="D404" s="2" t="s">
        <v>51</v>
      </c>
      <c r="E404" s="2" t="s">
        <v>22</v>
      </c>
      <c r="F404" s="2">
        <v>1277955380444250</v>
      </c>
      <c r="G404" s="2">
        <v>1.2024229057228E+17</v>
      </c>
      <c r="H404" s="2">
        <v>1.2024270613878E+17</v>
      </c>
      <c r="I404" s="2">
        <v>1.202427061388E+17</v>
      </c>
      <c r="J404" s="2" t="s">
        <v>36</v>
      </c>
      <c r="K404" s="4">
        <v>8605</v>
      </c>
      <c r="L404">
        <v>747</v>
      </c>
      <c r="M404">
        <v>1598.75</v>
      </c>
      <c r="N404">
        <f t="shared" si="18"/>
        <v>7745</v>
      </c>
      <c r="O404">
        <f t="shared" si="19"/>
        <v>3485</v>
      </c>
      <c r="P404" s="5">
        <f t="shared" si="20"/>
        <v>5679</v>
      </c>
      <c r="S404">
        <v>6</v>
      </c>
    </row>
    <row r="405" spans="1:20" ht="15.75" thickBot="1" x14ac:dyDescent="0.3">
      <c r="A405" s="3">
        <v>46116</v>
      </c>
      <c r="B405" s="2" t="s">
        <v>19</v>
      </c>
      <c r="C405" s="2" t="s">
        <v>50</v>
      </c>
      <c r="D405" s="2" t="s">
        <v>51</v>
      </c>
      <c r="E405" s="2" t="s">
        <v>22</v>
      </c>
      <c r="F405" s="2">
        <v>1277955380444250</v>
      </c>
      <c r="G405" s="2">
        <v>1.2024229057228E+17</v>
      </c>
      <c r="H405" s="2">
        <v>1.2024270613878E+17</v>
      </c>
      <c r="I405" s="2">
        <v>1.202427061388E+17</v>
      </c>
      <c r="J405" s="2" t="s">
        <v>52</v>
      </c>
      <c r="K405" s="4">
        <v>2728</v>
      </c>
      <c r="L405">
        <v>166</v>
      </c>
      <c r="M405">
        <v>1045.6300000000001</v>
      </c>
      <c r="N405">
        <f t="shared" si="18"/>
        <v>2455</v>
      </c>
      <c r="O405">
        <f t="shared" si="19"/>
        <v>1105</v>
      </c>
      <c r="P405" s="5">
        <f t="shared" si="20"/>
        <v>1800</v>
      </c>
      <c r="S405">
        <v>1</v>
      </c>
    </row>
    <row r="406" spans="1:20" ht="15.75" thickBot="1" x14ac:dyDescent="0.3">
      <c r="A406" s="3">
        <v>46116</v>
      </c>
      <c r="B406" s="2" t="s">
        <v>19</v>
      </c>
      <c r="C406" s="2" t="s">
        <v>50</v>
      </c>
      <c r="D406" s="2" t="s">
        <v>53</v>
      </c>
      <c r="E406" s="2" t="s">
        <v>22</v>
      </c>
      <c r="F406" s="2">
        <v>1277955380444250</v>
      </c>
      <c r="G406" s="2">
        <v>1.2024229057228E+17</v>
      </c>
      <c r="H406" s="2">
        <v>1.2024270613878E+17</v>
      </c>
      <c r="I406" s="2">
        <v>1.2024270613881E+17</v>
      </c>
      <c r="J406" s="2" t="s">
        <v>23</v>
      </c>
      <c r="K406" s="4">
        <v>1312</v>
      </c>
      <c r="L406">
        <v>811</v>
      </c>
      <c r="M406">
        <v>1654.32</v>
      </c>
      <c r="N406">
        <f t="shared" si="18"/>
        <v>1181</v>
      </c>
      <c r="O406">
        <f t="shared" si="19"/>
        <v>531</v>
      </c>
      <c r="P406" s="5">
        <f t="shared" si="20"/>
        <v>866</v>
      </c>
      <c r="S406">
        <v>185</v>
      </c>
      <c r="T406">
        <v>2</v>
      </c>
    </row>
    <row r="407" spans="1:20" ht="15.75" thickBot="1" x14ac:dyDescent="0.3">
      <c r="A407" s="3">
        <v>46116</v>
      </c>
      <c r="B407" s="2" t="s">
        <v>19</v>
      </c>
      <c r="C407" s="2" t="s">
        <v>50</v>
      </c>
      <c r="D407" s="2" t="s">
        <v>53</v>
      </c>
      <c r="E407" s="2" t="s">
        <v>22</v>
      </c>
      <c r="F407" s="2">
        <v>1277955380444250</v>
      </c>
      <c r="G407" s="2">
        <v>1.2024229057228E+17</v>
      </c>
      <c r="H407" s="2">
        <v>1.2024270613878E+17</v>
      </c>
      <c r="I407" s="2">
        <v>1.2024270613881E+17</v>
      </c>
      <c r="J407" s="2" t="s">
        <v>24</v>
      </c>
      <c r="K407" s="4">
        <v>2276</v>
      </c>
      <c r="L407">
        <v>616</v>
      </c>
      <c r="M407">
        <v>385.77</v>
      </c>
      <c r="N407">
        <f t="shared" si="18"/>
        <v>2048</v>
      </c>
      <c r="O407">
        <f t="shared" si="19"/>
        <v>922</v>
      </c>
      <c r="P407" s="5">
        <f t="shared" si="20"/>
        <v>1502</v>
      </c>
      <c r="S407">
        <v>13384</v>
      </c>
      <c r="T407">
        <v>52</v>
      </c>
    </row>
    <row r="408" spans="1:20" ht="15.75" thickBot="1" x14ac:dyDescent="0.3">
      <c r="A408" s="3">
        <v>46116</v>
      </c>
      <c r="B408" s="2" t="s">
        <v>19</v>
      </c>
      <c r="C408" s="2" t="s">
        <v>50</v>
      </c>
      <c r="D408" s="2" t="s">
        <v>53</v>
      </c>
      <c r="E408" s="2" t="s">
        <v>22</v>
      </c>
      <c r="F408" s="2">
        <v>1277955380444250</v>
      </c>
      <c r="G408" s="2">
        <v>1.2024229057228E+17</v>
      </c>
      <c r="H408" s="2">
        <v>1.2024270613878E+17</v>
      </c>
      <c r="I408" s="2">
        <v>1.2024270613881E+17</v>
      </c>
      <c r="J408" s="2" t="s">
        <v>36</v>
      </c>
      <c r="K408" s="4">
        <v>8075</v>
      </c>
      <c r="L408">
        <v>369</v>
      </c>
      <c r="M408">
        <v>1505.28</v>
      </c>
      <c r="N408">
        <f t="shared" si="18"/>
        <v>7268</v>
      </c>
      <c r="O408">
        <f t="shared" si="19"/>
        <v>3271</v>
      </c>
      <c r="P408" s="5">
        <f t="shared" si="20"/>
        <v>5330</v>
      </c>
      <c r="S408">
        <v>8</v>
      </c>
    </row>
    <row r="409" spans="1:20" ht="15.75" thickBot="1" x14ac:dyDescent="0.3">
      <c r="A409" s="3">
        <v>46116</v>
      </c>
      <c r="B409" s="2" t="s">
        <v>19</v>
      </c>
      <c r="C409" s="2" t="s">
        <v>50</v>
      </c>
      <c r="D409" s="2" t="s">
        <v>53</v>
      </c>
      <c r="E409" s="2" t="s">
        <v>22</v>
      </c>
      <c r="F409" s="2">
        <v>1277955380444250</v>
      </c>
      <c r="G409" s="2">
        <v>1.2024229057228E+17</v>
      </c>
      <c r="H409" s="2">
        <v>1.2024270613878E+17</v>
      </c>
      <c r="I409" s="2">
        <v>1.2024270613881E+17</v>
      </c>
      <c r="J409" s="2" t="s">
        <v>52</v>
      </c>
      <c r="K409" s="4">
        <v>8434</v>
      </c>
      <c r="L409">
        <v>761</v>
      </c>
      <c r="M409">
        <v>227.3</v>
      </c>
      <c r="N409">
        <f t="shared" si="18"/>
        <v>7591</v>
      </c>
      <c r="O409">
        <f t="shared" si="19"/>
        <v>3416</v>
      </c>
      <c r="P409" s="5">
        <f t="shared" si="20"/>
        <v>5566</v>
      </c>
      <c r="S409">
        <v>9</v>
      </c>
    </row>
    <row r="410" spans="1:20" ht="15.75" thickBot="1" x14ac:dyDescent="0.3">
      <c r="A410" s="3">
        <v>46116</v>
      </c>
      <c r="B410" s="2" t="s">
        <v>19</v>
      </c>
      <c r="C410" s="2" t="s">
        <v>50</v>
      </c>
      <c r="D410" s="2" t="s">
        <v>54</v>
      </c>
      <c r="E410" s="2" t="s">
        <v>22</v>
      </c>
      <c r="F410" s="2">
        <v>1277955380444250</v>
      </c>
      <c r="G410" s="2">
        <v>1.2024229057228E+17</v>
      </c>
      <c r="H410" s="2">
        <v>1.2024270613878E+17</v>
      </c>
      <c r="I410" s="2">
        <v>1.2024270623134E+17</v>
      </c>
      <c r="J410" s="2" t="s">
        <v>23</v>
      </c>
      <c r="K410" s="4">
        <v>7112</v>
      </c>
      <c r="L410">
        <v>69</v>
      </c>
      <c r="M410">
        <v>1119.6500000000001</v>
      </c>
      <c r="N410">
        <f t="shared" si="18"/>
        <v>6401</v>
      </c>
      <c r="O410">
        <f t="shared" si="19"/>
        <v>2880</v>
      </c>
      <c r="P410" s="5">
        <f t="shared" si="20"/>
        <v>4694</v>
      </c>
      <c r="S410">
        <v>1344</v>
      </c>
      <c r="T410">
        <v>5</v>
      </c>
    </row>
    <row r="411" spans="1:20" ht="15.75" thickBot="1" x14ac:dyDescent="0.3">
      <c r="A411" s="3">
        <v>46116</v>
      </c>
      <c r="B411" s="2" t="s">
        <v>19</v>
      </c>
      <c r="C411" s="2" t="s">
        <v>50</v>
      </c>
      <c r="D411" s="2" t="s">
        <v>54</v>
      </c>
      <c r="E411" s="2" t="s">
        <v>22</v>
      </c>
      <c r="F411" s="2">
        <v>1277955380444250</v>
      </c>
      <c r="G411" s="2">
        <v>1.2024229057228E+17</v>
      </c>
      <c r="H411" s="2">
        <v>1.2024270613878E+17</v>
      </c>
      <c r="I411" s="2">
        <v>1.2024270623134E+17</v>
      </c>
      <c r="J411" s="2" t="s">
        <v>24</v>
      </c>
      <c r="K411" s="4">
        <v>5626</v>
      </c>
      <c r="L411">
        <v>478</v>
      </c>
      <c r="M411">
        <v>1562.07</v>
      </c>
      <c r="N411">
        <f t="shared" si="18"/>
        <v>5063</v>
      </c>
      <c r="O411">
        <f t="shared" si="19"/>
        <v>2278</v>
      </c>
      <c r="P411" s="5">
        <f t="shared" si="20"/>
        <v>3713</v>
      </c>
      <c r="S411">
        <v>173226</v>
      </c>
      <c r="T411">
        <v>663</v>
      </c>
    </row>
    <row r="412" spans="1:20" ht="15.75" thickBot="1" x14ac:dyDescent="0.3">
      <c r="A412" s="3">
        <v>46116</v>
      </c>
      <c r="B412" s="2" t="s">
        <v>19</v>
      </c>
      <c r="C412" s="2" t="s">
        <v>50</v>
      </c>
      <c r="D412" s="2" t="s">
        <v>54</v>
      </c>
      <c r="E412" s="2" t="s">
        <v>22</v>
      </c>
      <c r="F412" s="2">
        <v>1277955380444250</v>
      </c>
      <c r="G412" s="2">
        <v>1.2024229057228E+17</v>
      </c>
      <c r="H412" s="2">
        <v>1.2024270613878E+17</v>
      </c>
      <c r="I412" s="2">
        <v>1.2024270623134E+17</v>
      </c>
      <c r="J412" s="2" t="s">
        <v>36</v>
      </c>
      <c r="K412" s="4">
        <v>2401</v>
      </c>
      <c r="L412">
        <v>263</v>
      </c>
      <c r="M412">
        <v>1892.4</v>
      </c>
      <c r="N412">
        <f t="shared" si="18"/>
        <v>2161</v>
      </c>
      <c r="O412">
        <f t="shared" si="19"/>
        <v>972</v>
      </c>
      <c r="P412" s="5">
        <f t="shared" si="20"/>
        <v>1585</v>
      </c>
      <c r="S412">
        <v>4</v>
      </c>
    </row>
    <row r="413" spans="1:20" ht="15.75" thickBot="1" x14ac:dyDescent="0.3">
      <c r="A413" s="3">
        <v>46116</v>
      </c>
      <c r="B413" s="2" t="s">
        <v>19</v>
      </c>
      <c r="C413" s="2" t="s">
        <v>50</v>
      </c>
      <c r="D413" s="2" t="s">
        <v>54</v>
      </c>
      <c r="E413" s="2" t="s">
        <v>22</v>
      </c>
      <c r="F413" s="2">
        <v>1277955380444250</v>
      </c>
      <c r="G413" s="2">
        <v>1.2024229057228E+17</v>
      </c>
      <c r="H413" s="2">
        <v>1.2024270613878E+17</v>
      </c>
      <c r="I413" s="2">
        <v>1.2024270623134E+17</v>
      </c>
      <c r="J413" s="2" t="s">
        <v>52</v>
      </c>
      <c r="K413" s="4">
        <v>8595</v>
      </c>
      <c r="L413">
        <v>491</v>
      </c>
      <c r="M413">
        <v>1307.3599999999999</v>
      </c>
      <c r="N413">
        <f t="shared" si="18"/>
        <v>7736</v>
      </c>
      <c r="O413">
        <f t="shared" si="19"/>
        <v>3481</v>
      </c>
      <c r="P413" s="5">
        <f t="shared" si="20"/>
        <v>5673</v>
      </c>
      <c r="S413">
        <v>2777</v>
      </c>
      <c r="T413">
        <v>60</v>
      </c>
    </row>
    <row r="414" spans="1:20" ht="15.75" thickBot="1" x14ac:dyDescent="0.3">
      <c r="A414" s="3">
        <v>46116</v>
      </c>
      <c r="B414" s="2" t="s">
        <v>25</v>
      </c>
      <c r="C414" s="2" t="s">
        <v>40</v>
      </c>
      <c r="D414" s="2" t="s">
        <v>64</v>
      </c>
      <c r="E414" s="2" t="s">
        <v>22</v>
      </c>
      <c r="F414" s="2">
        <v>1277955380444250</v>
      </c>
      <c r="G414" s="2">
        <v>1.2024231584645E+17</v>
      </c>
      <c r="H414" s="2">
        <v>1.2024246508913E+17</v>
      </c>
      <c r="I414" s="2">
        <v>1.2024297553794E+17</v>
      </c>
      <c r="J414" s="2" t="s">
        <v>23</v>
      </c>
      <c r="K414" s="4">
        <v>8606</v>
      </c>
      <c r="L414">
        <v>226</v>
      </c>
      <c r="M414">
        <v>214.55</v>
      </c>
      <c r="N414">
        <f t="shared" si="18"/>
        <v>7745</v>
      </c>
      <c r="O414">
        <f t="shared" si="19"/>
        <v>3485</v>
      </c>
      <c r="P414" s="5">
        <f t="shared" si="20"/>
        <v>5680</v>
      </c>
    </row>
    <row r="415" spans="1:20" ht="15.75" thickBot="1" x14ac:dyDescent="0.3">
      <c r="A415" s="3">
        <v>46116</v>
      </c>
      <c r="B415" s="2" t="s">
        <v>25</v>
      </c>
      <c r="C415" s="2" t="s">
        <v>40</v>
      </c>
      <c r="D415" s="2" t="s">
        <v>64</v>
      </c>
      <c r="E415" s="2" t="s">
        <v>22</v>
      </c>
      <c r="F415" s="2">
        <v>1277955380444250</v>
      </c>
      <c r="G415" s="2">
        <v>1.2024231584645E+17</v>
      </c>
      <c r="H415" s="2">
        <v>1.2024246508913E+17</v>
      </c>
      <c r="I415" s="2">
        <v>1.2024297553794E+17</v>
      </c>
      <c r="J415" s="2" t="s">
        <v>24</v>
      </c>
      <c r="K415" s="4">
        <v>6715</v>
      </c>
      <c r="L415">
        <v>761</v>
      </c>
      <c r="M415">
        <v>173.99</v>
      </c>
      <c r="N415">
        <f t="shared" si="18"/>
        <v>6044</v>
      </c>
      <c r="O415">
        <f t="shared" si="19"/>
        <v>2720</v>
      </c>
      <c r="P415" s="5">
        <f t="shared" si="20"/>
        <v>4432</v>
      </c>
    </row>
    <row r="416" spans="1:20" ht="15.75" thickBot="1" x14ac:dyDescent="0.3">
      <c r="A416" s="3">
        <v>46116</v>
      </c>
      <c r="B416" s="2" t="s">
        <v>25</v>
      </c>
      <c r="C416" s="2" t="s">
        <v>40</v>
      </c>
      <c r="D416" s="2" t="s">
        <v>61</v>
      </c>
      <c r="E416" s="2" t="s">
        <v>22</v>
      </c>
      <c r="F416" s="2">
        <v>1277955380444250</v>
      </c>
      <c r="G416" s="2">
        <v>1.2024231584645E+17</v>
      </c>
      <c r="H416" s="2">
        <v>1.2024246508913E+17</v>
      </c>
      <c r="I416" s="2">
        <v>1.2024294401448E+17</v>
      </c>
      <c r="J416" s="2" t="s">
        <v>23</v>
      </c>
      <c r="K416" s="4">
        <v>6209</v>
      </c>
      <c r="L416">
        <v>499</v>
      </c>
      <c r="M416">
        <v>980.8</v>
      </c>
      <c r="N416">
        <f t="shared" si="18"/>
        <v>5588</v>
      </c>
      <c r="O416">
        <f t="shared" si="19"/>
        <v>2515</v>
      </c>
      <c r="P416" s="5">
        <f t="shared" si="20"/>
        <v>4098</v>
      </c>
    </row>
    <row r="417" spans="1:20" ht="15.75" thickBot="1" x14ac:dyDescent="0.3">
      <c r="A417" s="3">
        <v>46116</v>
      </c>
      <c r="B417" s="2" t="s">
        <v>25</v>
      </c>
      <c r="C417" s="2" t="s">
        <v>40</v>
      </c>
      <c r="D417" s="2" t="s">
        <v>61</v>
      </c>
      <c r="E417" s="2" t="s">
        <v>22</v>
      </c>
      <c r="F417" s="2">
        <v>1277955380444250</v>
      </c>
      <c r="G417" s="2">
        <v>1.2024231584645E+17</v>
      </c>
      <c r="H417" s="2">
        <v>1.2024246508913E+17</v>
      </c>
      <c r="I417" s="2">
        <v>1.2024294401448E+17</v>
      </c>
      <c r="J417" s="2" t="s">
        <v>24</v>
      </c>
      <c r="K417" s="4">
        <v>8762</v>
      </c>
      <c r="L417">
        <v>381</v>
      </c>
      <c r="M417">
        <v>1474.9</v>
      </c>
      <c r="N417">
        <f t="shared" si="18"/>
        <v>7886</v>
      </c>
      <c r="O417">
        <f t="shared" si="19"/>
        <v>3549</v>
      </c>
      <c r="P417" s="5">
        <f t="shared" si="20"/>
        <v>5783</v>
      </c>
    </row>
    <row r="418" spans="1:20" ht="15.75" thickBot="1" x14ac:dyDescent="0.3">
      <c r="A418" s="3">
        <v>46116</v>
      </c>
      <c r="B418" s="2" t="s">
        <v>25</v>
      </c>
      <c r="C418" s="2" t="s">
        <v>40</v>
      </c>
      <c r="D418" s="2" t="s">
        <v>61</v>
      </c>
      <c r="E418" s="2" t="s">
        <v>22</v>
      </c>
      <c r="F418" s="2">
        <v>1277955380444250</v>
      </c>
      <c r="G418" s="2">
        <v>1.2024231584645E+17</v>
      </c>
      <c r="H418" s="2">
        <v>1.2024246508913E+17</v>
      </c>
      <c r="I418" s="2">
        <v>1.2024294401448E+17</v>
      </c>
      <c r="J418" s="2" t="s">
        <v>46</v>
      </c>
      <c r="K418" s="4">
        <v>9368</v>
      </c>
      <c r="L418">
        <v>645</v>
      </c>
      <c r="M418">
        <v>397.39</v>
      </c>
      <c r="N418">
        <f t="shared" si="18"/>
        <v>8431</v>
      </c>
      <c r="O418">
        <f t="shared" si="19"/>
        <v>3794</v>
      </c>
      <c r="P418" s="5">
        <f t="shared" si="20"/>
        <v>6183</v>
      </c>
    </row>
    <row r="419" spans="1:20" ht="15.75" thickBot="1" x14ac:dyDescent="0.3">
      <c r="A419" s="3">
        <v>46116</v>
      </c>
      <c r="B419" s="2" t="s">
        <v>25</v>
      </c>
      <c r="C419" s="2" t="s">
        <v>28</v>
      </c>
      <c r="D419" s="2" t="s">
        <v>65</v>
      </c>
      <c r="E419" s="2" t="s">
        <v>22</v>
      </c>
      <c r="F419" s="2">
        <v>1277955380444250</v>
      </c>
      <c r="G419" s="2">
        <v>1.2024231584645E+17</v>
      </c>
      <c r="H419" s="2">
        <v>1.2024231613167E+17</v>
      </c>
      <c r="I419" s="2">
        <v>1.2024294474555E+17</v>
      </c>
      <c r="J419" s="2" t="s">
        <v>23</v>
      </c>
      <c r="K419" s="4">
        <v>7069</v>
      </c>
      <c r="L419">
        <v>877</v>
      </c>
      <c r="M419">
        <v>1190.6400000000001</v>
      </c>
      <c r="N419">
        <f t="shared" si="18"/>
        <v>6362</v>
      </c>
      <c r="O419">
        <f t="shared" si="19"/>
        <v>2863</v>
      </c>
      <c r="P419" s="5">
        <f t="shared" si="20"/>
        <v>4666</v>
      </c>
    </row>
    <row r="420" spans="1:20" ht="15.75" thickBot="1" x14ac:dyDescent="0.3">
      <c r="A420" s="3">
        <v>46116</v>
      </c>
      <c r="B420" s="2" t="s">
        <v>25</v>
      </c>
      <c r="C420" s="2" t="s">
        <v>28</v>
      </c>
      <c r="D420" s="2" t="s">
        <v>65</v>
      </c>
      <c r="E420" s="2" t="s">
        <v>22</v>
      </c>
      <c r="F420" s="2">
        <v>1277955380444250</v>
      </c>
      <c r="G420" s="2">
        <v>1.2024231584645E+17</v>
      </c>
      <c r="H420" s="2">
        <v>1.2024231613167E+17</v>
      </c>
      <c r="I420" s="2">
        <v>1.2024294474555E+17</v>
      </c>
      <c r="J420" s="2" t="s">
        <v>24</v>
      </c>
      <c r="K420" s="4">
        <v>9491</v>
      </c>
      <c r="L420">
        <v>662</v>
      </c>
      <c r="M420">
        <v>1764.78</v>
      </c>
      <c r="N420">
        <f t="shared" si="18"/>
        <v>8542</v>
      </c>
      <c r="O420">
        <f t="shared" si="19"/>
        <v>3844</v>
      </c>
      <c r="P420" s="5">
        <f t="shared" si="20"/>
        <v>6264</v>
      </c>
    </row>
    <row r="421" spans="1:20" ht="15.75" thickBot="1" x14ac:dyDescent="0.3">
      <c r="A421" s="3">
        <v>46116</v>
      </c>
      <c r="B421" s="2" t="s">
        <v>25</v>
      </c>
      <c r="C421" s="2" t="s">
        <v>30</v>
      </c>
      <c r="D421" s="2" t="s">
        <v>66</v>
      </c>
      <c r="E421" s="2" t="s">
        <v>22</v>
      </c>
      <c r="F421" s="2">
        <v>1277955380444250</v>
      </c>
      <c r="G421" s="2">
        <v>1.2024231584645E+17</v>
      </c>
      <c r="H421" s="2">
        <v>1.2024231592817E+17</v>
      </c>
      <c r="I421" s="2">
        <v>1.2024297479832E+17</v>
      </c>
      <c r="J421" s="2" t="s">
        <v>23</v>
      </c>
      <c r="K421" s="4">
        <v>7480</v>
      </c>
      <c r="L421">
        <v>261</v>
      </c>
      <c r="M421">
        <v>666.36</v>
      </c>
      <c r="N421">
        <f t="shared" si="18"/>
        <v>6732</v>
      </c>
      <c r="O421">
        <f t="shared" si="19"/>
        <v>3029</v>
      </c>
      <c r="P421" s="5">
        <f t="shared" si="20"/>
        <v>4937</v>
      </c>
    </row>
    <row r="422" spans="1:20" ht="15.75" thickBot="1" x14ac:dyDescent="0.3">
      <c r="A422" s="3">
        <v>46116</v>
      </c>
      <c r="B422" s="2" t="s">
        <v>25</v>
      </c>
      <c r="C422" s="2" t="s">
        <v>30</v>
      </c>
      <c r="D422" s="2" t="s">
        <v>66</v>
      </c>
      <c r="E422" s="2" t="s">
        <v>22</v>
      </c>
      <c r="F422" s="2">
        <v>1277955380444250</v>
      </c>
      <c r="G422" s="2">
        <v>1.2024231584645E+17</v>
      </c>
      <c r="H422" s="2">
        <v>1.2024231592817E+17</v>
      </c>
      <c r="I422" s="2">
        <v>1.2024297479832E+17</v>
      </c>
      <c r="J422" s="2" t="s">
        <v>24</v>
      </c>
      <c r="K422" s="4">
        <v>2928</v>
      </c>
      <c r="L422">
        <v>377</v>
      </c>
      <c r="M422">
        <v>1050.9000000000001</v>
      </c>
      <c r="N422">
        <f t="shared" si="18"/>
        <v>2635</v>
      </c>
      <c r="O422">
        <f t="shared" si="19"/>
        <v>1186</v>
      </c>
      <c r="P422" s="5">
        <f t="shared" si="20"/>
        <v>1932</v>
      </c>
    </row>
    <row r="423" spans="1:20" ht="15.75" thickBot="1" x14ac:dyDescent="0.3">
      <c r="A423" s="3">
        <v>46116</v>
      </c>
      <c r="B423" s="2" t="s">
        <v>25</v>
      </c>
      <c r="C423" s="2" t="s">
        <v>32</v>
      </c>
      <c r="D423" s="2" t="s">
        <v>67</v>
      </c>
      <c r="E423" s="2" t="s">
        <v>22</v>
      </c>
      <c r="F423" s="2">
        <v>1277955380444250</v>
      </c>
      <c r="G423" s="2">
        <v>1.2024231584645E+17</v>
      </c>
      <c r="H423" s="2">
        <v>1.2024231584646E+17</v>
      </c>
      <c r="I423" s="2">
        <v>1.2024294450961E+17</v>
      </c>
      <c r="J423" s="2" t="s">
        <v>23</v>
      </c>
      <c r="K423" s="4">
        <v>3210</v>
      </c>
      <c r="L423">
        <v>419</v>
      </c>
      <c r="M423">
        <v>1609.73</v>
      </c>
      <c r="N423">
        <f t="shared" si="18"/>
        <v>2889</v>
      </c>
      <c r="O423">
        <f t="shared" si="19"/>
        <v>1300</v>
      </c>
      <c r="P423" s="5">
        <f t="shared" si="20"/>
        <v>2119</v>
      </c>
    </row>
    <row r="424" spans="1:20" ht="15.75" thickBot="1" x14ac:dyDescent="0.3">
      <c r="A424" s="3">
        <v>46116</v>
      </c>
      <c r="B424" s="2" t="s">
        <v>25</v>
      </c>
      <c r="C424" s="2" t="s">
        <v>32</v>
      </c>
      <c r="D424" s="2" t="s">
        <v>67</v>
      </c>
      <c r="E424" s="2" t="s">
        <v>22</v>
      </c>
      <c r="F424" s="2">
        <v>1277955380444250</v>
      </c>
      <c r="G424" s="2">
        <v>1.2024231584645E+17</v>
      </c>
      <c r="H424" s="2">
        <v>1.2024231584646E+17</v>
      </c>
      <c r="I424" s="2">
        <v>1.2024294450961E+17</v>
      </c>
      <c r="J424" s="2" t="s">
        <v>24</v>
      </c>
      <c r="K424" s="4">
        <v>7593</v>
      </c>
      <c r="L424">
        <v>497</v>
      </c>
      <c r="M424">
        <v>987.41</v>
      </c>
      <c r="N424">
        <f t="shared" si="18"/>
        <v>6834</v>
      </c>
      <c r="O424">
        <f t="shared" si="19"/>
        <v>3075</v>
      </c>
      <c r="P424" s="5">
        <f t="shared" si="20"/>
        <v>5011</v>
      </c>
    </row>
    <row r="425" spans="1:20" ht="15.75" thickBot="1" x14ac:dyDescent="0.3">
      <c r="A425" s="3">
        <v>46116</v>
      </c>
      <c r="B425" s="2" t="s">
        <v>25</v>
      </c>
      <c r="C425" s="2" t="s">
        <v>32</v>
      </c>
      <c r="D425" s="2" t="s">
        <v>67</v>
      </c>
      <c r="E425" s="2" t="s">
        <v>22</v>
      </c>
      <c r="F425" s="2">
        <v>1277955380444250</v>
      </c>
      <c r="G425" s="2">
        <v>1.2024231584645E+17</v>
      </c>
      <c r="H425" s="2">
        <v>1.2024231584646E+17</v>
      </c>
      <c r="I425" s="2">
        <v>1.2024294450961E+17</v>
      </c>
      <c r="J425" s="2" t="s">
        <v>36</v>
      </c>
      <c r="K425" s="4">
        <v>6790</v>
      </c>
      <c r="L425">
        <v>876</v>
      </c>
      <c r="M425">
        <v>1634.52</v>
      </c>
      <c r="N425">
        <f t="shared" si="18"/>
        <v>6111</v>
      </c>
      <c r="O425">
        <f t="shared" si="19"/>
        <v>2750</v>
      </c>
      <c r="P425" s="5">
        <f t="shared" si="20"/>
        <v>4481</v>
      </c>
    </row>
    <row r="426" spans="1:20" ht="15.75" thickBot="1" x14ac:dyDescent="0.3">
      <c r="A426" s="3">
        <v>46116</v>
      </c>
      <c r="B426" s="2" t="s">
        <v>56</v>
      </c>
      <c r="C426" s="2" t="s">
        <v>57</v>
      </c>
      <c r="D426" s="2" t="s">
        <v>63</v>
      </c>
      <c r="E426" s="2" t="s">
        <v>22</v>
      </c>
      <c r="F426" s="2">
        <v>1277955380444250</v>
      </c>
      <c r="G426" s="2">
        <v>1.2024270854698E+17</v>
      </c>
      <c r="H426" s="2">
        <v>1.2024270854697E+17</v>
      </c>
      <c r="I426" s="2">
        <v>1.2024294325528E+17</v>
      </c>
      <c r="J426" s="2" t="s">
        <v>23</v>
      </c>
      <c r="K426" s="4">
        <v>8502</v>
      </c>
      <c r="L426">
        <v>995</v>
      </c>
      <c r="M426">
        <v>372.24</v>
      </c>
      <c r="N426">
        <f t="shared" si="18"/>
        <v>7652</v>
      </c>
      <c r="O426">
        <f t="shared" si="19"/>
        <v>3443</v>
      </c>
      <c r="P426" s="5">
        <f t="shared" si="20"/>
        <v>5611</v>
      </c>
    </row>
    <row r="427" spans="1:20" ht="15.75" thickBot="1" x14ac:dyDescent="0.3">
      <c r="A427" s="3">
        <v>46116</v>
      </c>
      <c r="B427" s="2" t="s">
        <v>56</v>
      </c>
      <c r="C427" s="2" t="s">
        <v>57</v>
      </c>
      <c r="D427" s="2" t="s">
        <v>63</v>
      </c>
      <c r="E427" s="2" t="s">
        <v>22</v>
      </c>
      <c r="F427" s="2">
        <v>1277955380444250</v>
      </c>
      <c r="G427" s="2">
        <v>1.2024270854698E+17</v>
      </c>
      <c r="H427" s="2">
        <v>1.2024270854697E+17</v>
      </c>
      <c r="I427" s="2">
        <v>1.2024294325528E+17</v>
      </c>
      <c r="J427" s="2" t="s">
        <v>24</v>
      </c>
      <c r="K427" s="4">
        <v>6402</v>
      </c>
      <c r="L427">
        <v>584</v>
      </c>
      <c r="M427">
        <v>1262.3499999999999</v>
      </c>
      <c r="N427">
        <f t="shared" si="18"/>
        <v>5762</v>
      </c>
      <c r="O427">
        <f t="shared" si="19"/>
        <v>2593</v>
      </c>
      <c r="P427" s="5">
        <f t="shared" si="20"/>
        <v>4225</v>
      </c>
    </row>
    <row r="428" spans="1:20" ht="15.75" thickBot="1" x14ac:dyDescent="0.3">
      <c r="A428" s="3">
        <v>46116</v>
      </c>
      <c r="B428" s="2" t="s">
        <v>56</v>
      </c>
      <c r="C428" s="2" t="s">
        <v>57</v>
      </c>
      <c r="D428" s="2" t="s">
        <v>63</v>
      </c>
      <c r="E428" s="2" t="s">
        <v>22</v>
      </c>
      <c r="F428" s="2">
        <v>1277955380444250</v>
      </c>
      <c r="G428" s="2">
        <v>1.2024270854698E+17</v>
      </c>
      <c r="H428" s="2">
        <v>1.2024270854697E+17</v>
      </c>
      <c r="I428" s="2">
        <v>1.2024294325528E+17</v>
      </c>
      <c r="J428" s="2" t="s">
        <v>46</v>
      </c>
      <c r="K428" s="4">
        <v>1048</v>
      </c>
      <c r="L428">
        <v>894</v>
      </c>
      <c r="M428">
        <v>880.63</v>
      </c>
      <c r="N428">
        <f t="shared" si="18"/>
        <v>943</v>
      </c>
      <c r="O428">
        <f t="shared" si="19"/>
        <v>424</v>
      </c>
      <c r="P428" s="5">
        <f t="shared" si="20"/>
        <v>692</v>
      </c>
    </row>
    <row r="429" spans="1:20" ht="15.75" thickBot="1" x14ac:dyDescent="0.3">
      <c r="A429" s="3">
        <v>46117</v>
      </c>
      <c r="B429" s="2" t="s">
        <v>47</v>
      </c>
      <c r="C429" s="2" t="s">
        <v>48</v>
      </c>
      <c r="D429" s="2" t="s">
        <v>59</v>
      </c>
      <c r="E429" s="2" t="s">
        <v>22</v>
      </c>
      <c r="F429" s="2">
        <v>1277955380444250</v>
      </c>
      <c r="G429" s="2">
        <v>1.2024261720294E+17</v>
      </c>
      <c r="H429" s="2">
        <v>1.2024261720296E+17</v>
      </c>
      <c r="I429" s="2">
        <v>1.2024292230769E+17</v>
      </c>
      <c r="J429" s="2" t="s">
        <v>24</v>
      </c>
      <c r="K429" s="4">
        <v>7481</v>
      </c>
      <c r="L429">
        <v>387</v>
      </c>
      <c r="M429">
        <v>1263.28</v>
      </c>
      <c r="N429">
        <f t="shared" si="18"/>
        <v>6733</v>
      </c>
      <c r="O429">
        <f t="shared" si="19"/>
        <v>3030</v>
      </c>
      <c r="P429" s="5">
        <f t="shared" si="20"/>
        <v>4937</v>
      </c>
      <c r="R429">
        <v>42</v>
      </c>
      <c r="S429">
        <v>76</v>
      </c>
      <c r="T429">
        <v>31</v>
      </c>
    </row>
    <row r="430" spans="1:20" ht="15.75" thickBot="1" x14ac:dyDescent="0.3">
      <c r="A430" s="3">
        <v>46117</v>
      </c>
      <c r="B430" s="2" t="s">
        <v>47</v>
      </c>
      <c r="C430" s="2" t="s">
        <v>48</v>
      </c>
      <c r="D430" s="2" t="s">
        <v>49</v>
      </c>
      <c r="E430" s="2" t="s">
        <v>22</v>
      </c>
      <c r="F430" s="2">
        <v>1277955380444250</v>
      </c>
      <c r="G430" s="2">
        <v>1.2024261720294E+17</v>
      </c>
      <c r="H430" s="2">
        <v>1.2024261720296E+17</v>
      </c>
      <c r="I430" s="2">
        <v>1.2024261720295E+17</v>
      </c>
      <c r="J430" s="2" t="s">
        <v>23</v>
      </c>
      <c r="K430" s="4">
        <v>7916</v>
      </c>
      <c r="L430">
        <v>62</v>
      </c>
      <c r="M430">
        <v>304.82</v>
      </c>
      <c r="N430">
        <f t="shared" si="18"/>
        <v>7124</v>
      </c>
      <c r="O430">
        <f t="shared" si="19"/>
        <v>3206</v>
      </c>
      <c r="P430" s="5">
        <f t="shared" si="20"/>
        <v>5225</v>
      </c>
      <c r="R430">
        <v>2</v>
      </c>
      <c r="S430">
        <v>49</v>
      </c>
      <c r="T430">
        <v>6</v>
      </c>
    </row>
    <row r="431" spans="1:20" ht="15.75" thickBot="1" x14ac:dyDescent="0.3">
      <c r="A431" s="3">
        <v>46117</v>
      </c>
      <c r="B431" s="2" t="s">
        <v>47</v>
      </c>
      <c r="C431" s="2" t="s">
        <v>48</v>
      </c>
      <c r="D431" s="2" t="s">
        <v>49</v>
      </c>
      <c r="E431" s="2" t="s">
        <v>22</v>
      </c>
      <c r="F431" s="2">
        <v>1277955380444250</v>
      </c>
      <c r="G431" s="2">
        <v>1.2024261720294E+17</v>
      </c>
      <c r="H431" s="2">
        <v>1.2024261720296E+17</v>
      </c>
      <c r="I431" s="2">
        <v>1.2024261720295E+17</v>
      </c>
      <c r="J431" s="2" t="s">
        <v>24</v>
      </c>
      <c r="K431" s="4">
        <v>4727</v>
      </c>
      <c r="L431">
        <v>512</v>
      </c>
      <c r="M431">
        <v>455.83</v>
      </c>
      <c r="N431">
        <f t="shared" si="18"/>
        <v>4254</v>
      </c>
      <c r="O431">
        <f t="shared" si="19"/>
        <v>1914</v>
      </c>
      <c r="P431" s="5">
        <f t="shared" si="20"/>
        <v>3120</v>
      </c>
      <c r="R431">
        <v>3958</v>
      </c>
      <c r="S431">
        <v>5791</v>
      </c>
      <c r="T431">
        <v>885</v>
      </c>
    </row>
    <row r="432" spans="1:20" ht="15.75" thickBot="1" x14ac:dyDescent="0.3">
      <c r="A432" s="3">
        <v>46117</v>
      </c>
      <c r="B432" s="2" t="s">
        <v>47</v>
      </c>
      <c r="C432" s="2" t="s">
        <v>48</v>
      </c>
      <c r="D432" s="2" t="s">
        <v>60</v>
      </c>
      <c r="E432" s="2" t="s">
        <v>22</v>
      </c>
      <c r="F432" s="2">
        <v>1277955380444250</v>
      </c>
      <c r="G432" s="2">
        <v>1.2024261720294E+17</v>
      </c>
      <c r="H432" s="2">
        <v>1.2024261720296E+17</v>
      </c>
      <c r="I432" s="2">
        <v>1.2024292195261E+17</v>
      </c>
      <c r="J432" s="2" t="s">
        <v>23</v>
      </c>
      <c r="K432" s="4">
        <v>5441</v>
      </c>
      <c r="L432">
        <v>231</v>
      </c>
      <c r="M432">
        <v>1270.26</v>
      </c>
      <c r="N432">
        <f t="shared" si="18"/>
        <v>4897</v>
      </c>
      <c r="O432">
        <f t="shared" si="19"/>
        <v>2204</v>
      </c>
      <c r="P432" s="5">
        <f t="shared" si="20"/>
        <v>3591</v>
      </c>
      <c r="R432">
        <v>33105</v>
      </c>
      <c r="S432">
        <v>78223</v>
      </c>
      <c r="T432">
        <v>13319</v>
      </c>
    </row>
    <row r="433" spans="1:20" ht="15.75" thickBot="1" x14ac:dyDescent="0.3">
      <c r="A433" s="3">
        <v>46117</v>
      </c>
      <c r="B433" s="2" t="s">
        <v>47</v>
      </c>
      <c r="C433" s="2" t="s">
        <v>48</v>
      </c>
      <c r="D433" s="2" t="s">
        <v>60</v>
      </c>
      <c r="E433" s="2" t="s">
        <v>22</v>
      </c>
      <c r="F433" s="2">
        <v>1277955380444250</v>
      </c>
      <c r="G433" s="2">
        <v>1.2024261720294E+17</v>
      </c>
      <c r="H433" s="2">
        <v>1.2024261720296E+17</v>
      </c>
      <c r="I433" s="2">
        <v>1.2024292195261E+17</v>
      </c>
      <c r="J433" s="2" t="s">
        <v>24</v>
      </c>
      <c r="K433" s="4">
        <v>8289</v>
      </c>
      <c r="L433">
        <v>178</v>
      </c>
      <c r="M433">
        <v>166.11</v>
      </c>
      <c r="N433">
        <f t="shared" si="18"/>
        <v>7460</v>
      </c>
      <c r="O433">
        <f t="shared" si="19"/>
        <v>3357</v>
      </c>
      <c r="P433" s="5">
        <f t="shared" si="20"/>
        <v>5471</v>
      </c>
      <c r="R433">
        <v>1780272</v>
      </c>
      <c r="S433">
        <v>4308513</v>
      </c>
      <c r="T433">
        <v>1124851</v>
      </c>
    </row>
    <row r="434" spans="1:20" ht="15.75" thickBot="1" x14ac:dyDescent="0.3">
      <c r="A434" s="3">
        <v>46117</v>
      </c>
      <c r="B434" s="2" t="s">
        <v>47</v>
      </c>
      <c r="C434" s="2" t="s">
        <v>48</v>
      </c>
      <c r="D434" s="2" t="s">
        <v>60</v>
      </c>
      <c r="E434" s="2" t="s">
        <v>22</v>
      </c>
      <c r="F434" s="2">
        <v>1277955380444250</v>
      </c>
      <c r="G434" s="2">
        <v>1.2024261720294E+17</v>
      </c>
      <c r="H434" s="2">
        <v>1.2024261720296E+17</v>
      </c>
      <c r="I434" s="2">
        <v>1.2024292195261E+17</v>
      </c>
      <c r="J434" s="2" t="s">
        <v>55</v>
      </c>
      <c r="K434" s="4">
        <v>1593</v>
      </c>
      <c r="L434">
        <v>362</v>
      </c>
      <c r="M434">
        <v>519.65</v>
      </c>
      <c r="N434">
        <f t="shared" si="18"/>
        <v>1434</v>
      </c>
      <c r="O434">
        <f t="shared" si="19"/>
        <v>645</v>
      </c>
      <c r="P434" s="5">
        <f t="shared" si="20"/>
        <v>1051</v>
      </c>
    </row>
    <row r="435" spans="1:20" ht="15.75" thickBot="1" x14ac:dyDescent="0.3">
      <c r="A435" s="3">
        <v>46117</v>
      </c>
      <c r="B435" s="2" t="s">
        <v>19</v>
      </c>
      <c r="C435" s="2" t="s">
        <v>20</v>
      </c>
      <c r="D435" s="2" t="s">
        <v>21</v>
      </c>
      <c r="E435" s="2" t="s">
        <v>22</v>
      </c>
      <c r="F435" s="2">
        <v>1277955380444250</v>
      </c>
      <c r="G435" s="2">
        <v>1.2024229057228E+17</v>
      </c>
      <c r="H435" s="2">
        <v>1.2024229057229E+17</v>
      </c>
      <c r="I435" s="2">
        <v>1.2024229057227E+17</v>
      </c>
      <c r="J435" s="2" t="s">
        <v>23</v>
      </c>
      <c r="K435" s="4">
        <v>7734</v>
      </c>
      <c r="L435">
        <v>175</v>
      </c>
      <c r="M435">
        <v>1564.64</v>
      </c>
      <c r="N435">
        <f t="shared" si="18"/>
        <v>6961</v>
      </c>
      <c r="O435">
        <f t="shared" si="19"/>
        <v>3132</v>
      </c>
      <c r="P435" s="5">
        <f t="shared" si="20"/>
        <v>5104</v>
      </c>
      <c r="S435">
        <v>437</v>
      </c>
      <c r="T435">
        <v>7</v>
      </c>
    </row>
    <row r="436" spans="1:20" ht="15.75" thickBot="1" x14ac:dyDescent="0.3">
      <c r="A436" s="3">
        <v>46117</v>
      </c>
      <c r="B436" s="2" t="s">
        <v>19</v>
      </c>
      <c r="C436" s="2" t="s">
        <v>20</v>
      </c>
      <c r="D436" s="2" t="s">
        <v>21</v>
      </c>
      <c r="E436" s="2" t="s">
        <v>22</v>
      </c>
      <c r="F436" s="2">
        <v>1277955380444250</v>
      </c>
      <c r="G436" s="2">
        <v>1.2024229057228E+17</v>
      </c>
      <c r="H436" s="2">
        <v>1.2024229057229E+17</v>
      </c>
      <c r="I436" s="2">
        <v>1.2024229057227E+17</v>
      </c>
      <c r="J436" s="2" t="s">
        <v>24</v>
      </c>
      <c r="K436" s="4">
        <v>2962</v>
      </c>
      <c r="L436">
        <v>313</v>
      </c>
      <c r="M436">
        <v>1278.22</v>
      </c>
      <c r="N436">
        <f t="shared" si="18"/>
        <v>2666</v>
      </c>
      <c r="O436">
        <f t="shared" si="19"/>
        <v>1200</v>
      </c>
      <c r="P436" s="5">
        <f t="shared" si="20"/>
        <v>1955</v>
      </c>
      <c r="S436">
        <v>79590</v>
      </c>
      <c r="T436">
        <v>247</v>
      </c>
    </row>
    <row r="437" spans="1:20" ht="15.75" thickBot="1" x14ac:dyDescent="0.3">
      <c r="A437" s="3">
        <v>46117</v>
      </c>
      <c r="B437" s="2" t="s">
        <v>19</v>
      </c>
      <c r="C437" s="2" t="s">
        <v>20</v>
      </c>
      <c r="D437" s="2" t="s">
        <v>34</v>
      </c>
      <c r="E437" s="2" t="s">
        <v>22</v>
      </c>
      <c r="F437" s="2">
        <v>1277955380444250</v>
      </c>
      <c r="G437" s="2">
        <v>1.2024229057228E+17</v>
      </c>
      <c r="H437" s="2">
        <v>1.2024229057229E+17</v>
      </c>
      <c r="I437" s="2">
        <v>1.2024229334046E+17</v>
      </c>
      <c r="J437" s="2" t="s">
        <v>23</v>
      </c>
      <c r="K437" s="4">
        <v>9987</v>
      </c>
      <c r="L437">
        <v>858</v>
      </c>
      <c r="M437">
        <v>354.5</v>
      </c>
      <c r="N437">
        <f t="shared" si="18"/>
        <v>8988</v>
      </c>
      <c r="O437">
        <f t="shared" si="19"/>
        <v>4045</v>
      </c>
      <c r="P437" s="5">
        <f t="shared" si="20"/>
        <v>6591</v>
      </c>
      <c r="S437">
        <v>220</v>
      </c>
      <c r="T437">
        <v>1</v>
      </c>
    </row>
    <row r="438" spans="1:20" ht="15.75" thickBot="1" x14ac:dyDescent="0.3">
      <c r="A438" s="3">
        <v>46117</v>
      </c>
      <c r="B438" s="2" t="s">
        <v>19</v>
      </c>
      <c r="C438" s="2" t="s">
        <v>20</v>
      </c>
      <c r="D438" s="2" t="s">
        <v>34</v>
      </c>
      <c r="E438" s="2" t="s">
        <v>22</v>
      </c>
      <c r="F438" s="2">
        <v>1277955380444250</v>
      </c>
      <c r="G438" s="2">
        <v>1.2024229057228E+17</v>
      </c>
      <c r="H438" s="2">
        <v>1.2024229057229E+17</v>
      </c>
      <c r="I438" s="2">
        <v>1.2024229334046E+17</v>
      </c>
      <c r="J438" s="2" t="s">
        <v>24</v>
      </c>
      <c r="K438" s="4">
        <v>3529</v>
      </c>
      <c r="L438">
        <v>582</v>
      </c>
      <c r="M438">
        <v>857.54</v>
      </c>
      <c r="N438">
        <f t="shared" si="18"/>
        <v>3176</v>
      </c>
      <c r="O438">
        <f t="shared" si="19"/>
        <v>1429</v>
      </c>
      <c r="P438" s="5">
        <f t="shared" si="20"/>
        <v>2329</v>
      </c>
      <c r="S438">
        <v>154070</v>
      </c>
      <c r="T438">
        <v>609</v>
      </c>
    </row>
    <row r="439" spans="1:20" ht="15.75" thickBot="1" x14ac:dyDescent="0.3">
      <c r="A439" s="3">
        <v>46117</v>
      </c>
      <c r="B439" s="2" t="s">
        <v>19</v>
      </c>
      <c r="C439" s="2" t="s">
        <v>50</v>
      </c>
      <c r="D439" s="2" t="s">
        <v>51</v>
      </c>
      <c r="E439" s="2" t="s">
        <v>22</v>
      </c>
      <c r="F439" s="2">
        <v>1277955380444250</v>
      </c>
      <c r="G439" s="2">
        <v>1.2024229057228E+17</v>
      </c>
      <c r="H439" s="2">
        <v>1.2024270613878E+17</v>
      </c>
      <c r="I439" s="2">
        <v>1.202427061388E+17</v>
      </c>
      <c r="J439" s="2" t="s">
        <v>23</v>
      </c>
      <c r="K439" s="4">
        <v>9158</v>
      </c>
      <c r="L439">
        <v>688</v>
      </c>
      <c r="M439">
        <v>1501.66</v>
      </c>
      <c r="N439">
        <f t="shared" si="18"/>
        <v>8242</v>
      </c>
      <c r="O439">
        <f t="shared" si="19"/>
        <v>3709</v>
      </c>
      <c r="P439" s="5">
        <f t="shared" si="20"/>
        <v>6044</v>
      </c>
      <c r="S439">
        <v>31054</v>
      </c>
      <c r="T439">
        <v>781</v>
      </c>
    </row>
    <row r="440" spans="1:20" ht="15.75" thickBot="1" x14ac:dyDescent="0.3">
      <c r="A440" s="3">
        <v>46117</v>
      </c>
      <c r="B440" s="2" t="s">
        <v>19</v>
      </c>
      <c r="C440" s="2" t="s">
        <v>50</v>
      </c>
      <c r="D440" s="2" t="s">
        <v>51</v>
      </c>
      <c r="E440" s="2" t="s">
        <v>22</v>
      </c>
      <c r="F440" s="2">
        <v>1277955380444250</v>
      </c>
      <c r="G440" s="2">
        <v>1.2024229057228E+17</v>
      </c>
      <c r="H440" s="2">
        <v>1.2024270613878E+17</v>
      </c>
      <c r="I440" s="2">
        <v>1.202427061388E+17</v>
      </c>
      <c r="J440" s="2" t="s">
        <v>24</v>
      </c>
      <c r="K440" s="4">
        <v>5614</v>
      </c>
      <c r="L440">
        <v>688</v>
      </c>
      <c r="M440">
        <v>1330.06</v>
      </c>
      <c r="N440">
        <f t="shared" si="18"/>
        <v>5053</v>
      </c>
      <c r="O440">
        <f t="shared" si="19"/>
        <v>2274</v>
      </c>
      <c r="P440" s="5">
        <f t="shared" si="20"/>
        <v>3705</v>
      </c>
      <c r="S440">
        <v>916290</v>
      </c>
      <c r="T440">
        <v>4777</v>
      </c>
    </row>
    <row r="441" spans="1:20" ht="15.75" thickBot="1" x14ac:dyDescent="0.3">
      <c r="A441" s="3">
        <v>46117</v>
      </c>
      <c r="B441" s="2" t="s">
        <v>19</v>
      </c>
      <c r="C441" s="2" t="s">
        <v>50</v>
      </c>
      <c r="D441" s="2" t="s">
        <v>51</v>
      </c>
      <c r="E441" s="2" t="s">
        <v>22</v>
      </c>
      <c r="F441" s="2">
        <v>1277955380444250</v>
      </c>
      <c r="G441" s="2">
        <v>1.2024229057228E+17</v>
      </c>
      <c r="H441" s="2">
        <v>1.2024270613878E+17</v>
      </c>
      <c r="I441" s="2">
        <v>1.202427061388E+17</v>
      </c>
      <c r="J441" s="2" t="s">
        <v>52</v>
      </c>
      <c r="K441" s="4">
        <v>5529</v>
      </c>
      <c r="L441">
        <v>704</v>
      </c>
      <c r="M441">
        <v>754.65</v>
      </c>
      <c r="N441">
        <f t="shared" si="18"/>
        <v>4976</v>
      </c>
      <c r="O441">
        <f t="shared" si="19"/>
        <v>2239</v>
      </c>
      <c r="P441" s="5">
        <f t="shared" si="20"/>
        <v>3649</v>
      </c>
      <c r="S441">
        <v>13</v>
      </c>
      <c r="T441">
        <v>2</v>
      </c>
    </row>
    <row r="442" spans="1:20" ht="15.75" thickBot="1" x14ac:dyDescent="0.3">
      <c r="A442" s="3">
        <v>46117</v>
      </c>
      <c r="B442" s="2" t="s">
        <v>19</v>
      </c>
      <c r="C442" s="2" t="s">
        <v>50</v>
      </c>
      <c r="D442" s="2" t="s">
        <v>53</v>
      </c>
      <c r="E442" s="2" t="s">
        <v>22</v>
      </c>
      <c r="F442" s="2">
        <v>1277955380444250</v>
      </c>
      <c r="G442" s="2">
        <v>1.2024229057228E+17</v>
      </c>
      <c r="H442" s="2">
        <v>1.2024270613878E+17</v>
      </c>
      <c r="I442" s="2">
        <v>1.2024270613881E+17</v>
      </c>
      <c r="J442" s="2" t="s">
        <v>23</v>
      </c>
      <c r="K442" s="4">
        <v>5704</v>
      </c>
      <c r="L442">
        <v>716</v>
      </c>
      <c r="M442">
        <v>1798.28</v>
      </c>
      <c r="N442">
        <f t="shared" si="18"/>
        <v>5134</v>
      </c>
      <c r="O442">
        <f t="shared" si="19"/>
        <v>2310</v>
      </c>
      <c r="P442" s="5">
        <f t="shared" si="20"/>
        <v>3765</v>
      </c>
      <c r="S442">
        <v>233</v>
      </c>
      <c r="T442">
        <v>1</v>
      </c>
    </row>
    <row r="443" spans="1:20" ht="15.75" thickBot="1" x14ac:dyDescent="0.3">
      <c r="A443" s="3">
        <v>46117</v>
      </c>
      <c r="B443" s="2" t="s">
        <v>19</v>
      </c>
      <c r="C443" s="2" t="s">
        <v>50</v>
      </c>
      <c r="D443" s="2" t="s">
        <v>53</v>
      </c>
      <c r="E443" s="2" t="s">
        <v>22</v>
      </c>
      <c r="F443" s="2">
        <v>1277955380444250</v>
      </c>
      <c r="G443" s="2">
        <v>1.2024229057228E+17</v>
      </c>
      <c r="H443" s="2">
        <v>1.2024270613878E+17</v>
      </c>
      <c r="I443" s="2">
        <v>1.2024270613881E+17</v>
      </c>
      <c r="J443" s="2" t="s">
        <v>24</v>
      </c>
      <c r="K443" s="4">
        <v>8416</v>
      </c>
      <c r="L443">
        <v>904</v>
      </c>
      <c r="M443">
        <v>731.47</v>
      </c>
      <c r="N443">
        <f t="shared" si="18"/>
        <v>7574</v>
      </c>
      <c r="O443">
        <f t="shared" si="19"/>
        <v>3408</v>
      </c>
      <c r="P443" s="5">
        <f t="shared" si="20"/>
        <v>5555</v>
      </c>
      <c r="S443">
        <v>21060</v>
      </c>
      <c r="T443">
        <v>105</v>
      </c>
    </row>
    <row r="444" spans="1:20" ht="15.75" thickBot="1" x14ac:dyDescent="0.3">
      <c r="A444" s="3">
        <v>46117</v>
      </c>
      <c r="B444" s="2" t="s">
        <v>19</v>
      </c>
      <c r="C444" s="2" t="s">
        <v>50</v>
      </c>
      <c r="D444" s="2" t="s">
        <v>53</v>
      </c>
      <c r="E444" s="2" t="s">
        <v>22</v>
      </c>
      <c r="F444" s="2">
        <v>1277955380444250</v>
      </c>
      <c r="G444" s="2">
        <v>1.2024229057228E+17</v>
      </c>
      <c r="H444" s="2">
        <v>1.2024270613878E+17</v>
      </c>
      <c r="I444" s="2">
        <v>1.2024270613881E+17</v>
      </c>
      <c r="J444" s="2" t="s">
        <v>36</v>
      </c>
      <c r="K444" s="4">
        <v>7169</v>
      </c>
      <c r="L444">
        <v>241</v>
      </c>
      <c r="M444">
        <v>602.71</v>
      </c>
      <c r="N444">
        <f t="shared" si="18"/>
        <v>6452</v>
      </c>
      <c r="O444">
        <f t="shared" si="19"/>
        <v>2903</v>
      </c>
      <c r="P444" s="5">
        <f t="shared" si="20"/>
        <v>4732</v>
      </c>
      <c r="S444">
        <v>3</v>
      </c>
    </row>
    <row r="445" spans="1:20" ht="15.75" thickBot="1" x14ac:dyDescent="0.3">
      <c r="A445" s="3">
        <v>46117</v>
      </c>
      <c r="B445" s="2" t="s">
        <v>19</v>
      </c>
      <c r="C445" s="2" t="s">
        <v>50</v>
      </c>
      <c r="D445" s="2" t="s">
        <v>53</v>
      </c>
      <c r="E445" s="2" t="s">
        <v>22</v>
      </c>
      <c r="F445" s="2">
        <v>1277955380444250</v>
      </c>
      <c r="G445" s="2">
        <v>1.2024229057228E+17</v>
      </c>
      <c r="H445" s="2">
        <v>1.2024270613878E+17</v>
      </c>
      <c r="I445" s="2">
        <v>1.2024270613881E+17</v>
      </c>
      <c r="J445" s="2" t="s">
        <v>52</v>
      </c>
      <c r="K445" s="4">
        <v>9875</v>
      </c>
      <c r="L445">
        <v>244</v>
      </c>
      <c r="M445">
        <v>1093.98</v>
      </c>
      <c r="N445">
        <f t="shared" si="18"/>
        <v>8888</v>
      </c>
      <c r="O445">
        <f t="shared" si="19"/>
        <v>4000</v>
      </c>
      <c r="P445" s="5">
        <f t="shared" si="20"/>
        <v>6518</v>
      </c>
      <c r="S445">
        <v>60</v>
      </c>
      <c r="T445">
        <v>2</v>
      </c>
    </row>
    <row r="446" spans="1:20" ht="15.75" thickBot="1" x14ac:dyDescent="0.3">
      <c r="A446" s="3">
        <v>46117</v>
      </c>
      <c r="B446" s="2" t="s">
        <v>19</v>
      </c>
      <c r="C446" s="2" t="s">
        <v>50</v>
      </c>
      <c r="D446" s="2" t="s">
        <v>54</v>
      </c>
      <c r="E446" s="2" t="s">
        <v>22</v>
      </c>
      <c r="F446" s="2">
        <v>1277955380444250</v>
      </c>
      <c r="G446" s="2">
        <v>1.2024229057228E+17</v>
      </c>
      <c r="H446" s="2">
        <v>1.2024270613878E+17</v>
      </c>
      <c r="I446" s="2">
        <v>1.2024270623134E+17</v>
      </c>
      <c r="J446" s="2" t="s">
        <v>23</v>
      </c>
      <c r="K446" s="4">
        <v>8401</v>
      </c>
      <c r="L446">
        <v>455</v>
      </c>
      <c r="M446">
        <v>112.14</v>
      </c>
      <c r="N446">
        <f t="shared" si="18"/>
        <v>7561</v>
      </c>
      <c r="O446">
        <f t="shared" si="19"/>
        <v>3402</v>
      </c>
      <c r="P446" s="5">
        <f t="shared" si="20"/>
        <v>5545</v>
      </c>
      <c r="S446">
        <v>2069</v>
      </c>
      <c r="T446">
        <v>9</v>
      </c>
    </row>
    <row r="447" spans="1:20" ht="15.75" thickBot="1" x14ac:dyDescent="0.3">
      <c r="A447" s="3">
        <v>46117</v>
      </c>
      <c r="B447" s="2" t="s">
        <v>19</v>
      </c>
      <c r="C447" s="2" t="s">
        <v>50</v>
      </c>
      <c r="D447" s="2" t="s">
        <v>54</v>
      </c>
      <c r="E447" s="2" t="s">
        <v>22</v>
      </c>
      <c r="F447" s="2">
        <v>1277955380444250</v>
      </c>
      <c r="G447" s="2">
        <v>1.2024229057228E+17</v>
      </c>
      <c r="H447" s="2">
        <v>1.2024270613878E+17</v>
      </c>
      <c r="I447" s="2">
        <v>1.2024270623134E+17</v>
      </c>
      <c r="J447" s="2" t="s">
        <v>24</v>
      </c>
      <c r="K447" s="4">
        <v>7745</v>
      </c>
      <c r="L447">
        <v>563</v>
      </c>
      <c r="M447">
        <v>1556.45</v>
      </c>
      <c r="N447">
        <f t="shared" si="18"/>
        <v>6971</v>
      </c>
      <c r="O447">
        <f t="shared" si="19"/>
        <v>3137</v>
      </c>
      <c r="P447" s="5">
        <f t="shared" si="20"/>
        <v>5112</v>
      </c>
      <c r="S447">
        <v>255487</v>
      </c>
      <c r="T447">
        <v>983</v>
      </c>
    </row>
    <row r="448" spans="1:20" ht="15.75" thickBot="1" x14ac:dyDescent="0.3">
      <c r="A448" s="3">
        <v>46117</v>
      </c>
      <c r="B448" s="2" t="s">
        <v>19</v>
      </c>
      <c r="C448" s="2" t="s">
        <v>50</v>
      </c>
      <c r="D448" s="2" t="s">
        <v>54</v>
      </c>
      <c r="E448" s="2" t="s">
        <v>22</v>
      </c>
      <c r="F448" s="2">
        <v>1277955380444250</v>
      </c>
      <c r="G448" s="2">
        <v>1.2024229057228E+17</v>
      </c>
      <c r="H448" s="2">
        <v>1.2024270613878E+17</v>
      </c>
      <c r="I448" s="2">
        <v>1.2024270623134E+17</v>
      </c>
      <c r="J448" s="2" t="s">
        <v>52</v>
      </c>
      <c r="K448" s="4">
        <v>3655</v>
      </c>
      <c r="L448">
        <v>622</v>
      </c>
      <c r="M448">
        <v>1774.44</v>
      </c>
      <c r="N448">
        <f t="shared" si="18"/>
        <v>3290</v>
      </c>
      <c r="O448">
        <f t="shared" si="19"/>
        <v>1481</v>
      </c>
      <c r="P448" s="5">
        <f t="shared" si="20"/>
        <v>2412</v>
      </c>
      <c r="S448">
        <v>4503</v>
      </c>
      <c r="T448">
        <v>97</v>
      </c>
    </row>
    <row r="449" spans="1:20" ht="15.75" thickBot="1" x14ac:dyDescent="0.3">
      <c r="A449" s="3">
        <v>46117</v>
      </c>
      <c r="B449" s="2" t="s">
        <v>25</v>
      </c>
      <c r="C449" s="2" t="s">
        <v>40</v>
      </c>
      <c r="D449" s="2" t="s">
        <v>64</v>
      </c>
      <c r="E449" s="2" t="s">
        <v>22</v>
      </c>
      <c r="F449" s="2">
        <v>1277955380444250</v>
      </c>
      <c r="G449" s="2">
        <v>1.2024231584645E+17</v>
      </c>
      <c r="H449" s="2">
        <v>1.2024246508913E+17</v>
      </c>
      <c r="I449" s="2">
        <v>1.2024297553794E+17</v>
      </c>
      <c r="J449" s="2" t="s">
        <v>23</v>
      </c>
      <c r="K449" s="4">
        <v>5392</v>
      </c>
      <c r="L449">
        <v>299</v>
      </c>
      <c r="M449">
        <v>774.66</v>
      </c>
      <c r="N449">
        <f t="shared" si="18"/>
        <v>4853</v>
      </c>
      <c r="O449">
        <f t="shared" si="19"/>
        <v>2184</v>
      </c>
      <c r="P449" s="5">
        <f t="shared" si="20"/>
        <v>3559</v>
      </c>
    </row>
    <row r="450" spans="1:20" ht="15.75" thickBot="1" x14ac:dyDescent="0.3">
      <c r="A450" s="3">
        <v>46117</v>
      </c>
      <c r="B450" s="2" t="s">
        <v>25</v>
      </c>
      <c r="C450" s="2" t="s">
        <v>40</v>
      </c>
      <c r="D450" s="2" t="s">
        <v>64</v>
      </c>
      <c r="E450" s="2" t="s">
        <v>22</v>
      </c>
      <c r="F450" s="2">
        <v>1277955380444250</v>
      </c>
      <c r="G450" s="2">
        <v>1.2024231584645E+17</v>
      </c>
      <c r="H450" s="2">
        <v>1.2024246508913E+17</v>
      </c>
      <c r="I450" s="2">
        <v>1.2024297553794E+17</v>
      </c>
      <c r="J450" s="2" t="s">
        <v>24</v>
      </c>
      <c r="K450" s="4">
        <v>9380</v>
      </c>
      <c r="L450">
        <v>894</v>
      </c>
      <c r="M450">
        <v>419.94</v>
      </c>
      <c r="N450">
        <f t="shared" si="18"/>
        <v>8442</v>
      </c>
      <c r="O450">
        <f t="shared" si="19"/>
        <v>3799</v>
      </c>
      <c r="P450" s="5">
        <f t="shared" si="20"/>
        <v>6191</v>
      </c>
    </row>
    <row r="451" spans="1:20" ht="15.75" thickBot="1" x14ac:dyDescent="0.3">
      <c r="A451" s="3">
        <v>46117</v>
      </c>
      <c r="B451" s="2" t="s">
        <v>25</v>
      </c>
      <c r="C451" s="2" t="s">
        <v>40</v>
      </c>
      <c r="D451" s="2" t="s">
        <v>61</v>
      </c>
      <c r="E451" s="2" t="s">
        <v>22</v>
      </c>
      <c r="F451" s="2">
        <v>1277955380444250</v>
      </c>
      <c r="G451" s="2">
        <v>1.2024231584645E+17</v>
      </c>
      <c r="H451" s="2">
        <v>1.2024246508913E+17</v>
      </c>
      <c r="I451" s="2">
        <v>1.2024294401448E+17</v>
      </c>
      <c r="J451" s="2" t="s">
        <v>23</v>
      </c>
      <c r="K451" s="4">
        <v>2116</v>
      </c>
      <c r="L451">
        <v>494</v>
      </c>
      <c r="M451">
        <v>1506.13</v>
      </c>
      <c r="N451">
        <f t="shared" ref="N451:N514" si="21">ROUND(K451*0.9,0)</f>
        <v>1904</v>
      </c>
      <c r="O451">
        <f t="shared" ref="O451:O514" si="22">ROUND(N451*0.45,0)</f>
        <v>857</v>
      </c>
      <c r="P451" s="5">
        <f t="shared" ref="P451:P514" si="23">ROUND(K451*0.66,0)</f>
        <v>1397</v>
      </c>
    </row>
    <row r="452" spans="1:20" ht="15.75" thickBot="1" x14ac:dyDescent="0.3">
      <c r="A452" s="3">
        <v>46117</v>
      </c>
      <c r="B452" s="2" t="s">
        <v>25</v>
      </c>
      <c r="C452" s="2" t="s">
        <v>40</v>
      </c>
      <c r="D452" s="2" t="s">
        <v>61</v>
      </c>
      <c r="E452" s="2" t="s">
        <v>22</v>
      </c>
      <c r="F452" s="2">
        <v>1277955380444250</v>
      </c>
      <c r="G452" s="2">
        <v>1.2024231584645E+17</v>
      </c>
      <c r="H452" s="2">
        <v>1.2024246508913E+17</v>
      </c>
      <c r="I452" s="2">
        <v>1.2024294401448E+17</v>
      </c>
      <c r="J452" s="2" t="s">
        <v>24</v>
      </c>
      <c r="K452" s="4">
        <v>9801</v>
      </c>
      <c r="L452">
        <v>216</v>
      </c>
      <c r="M452">
        <v>1748.13</v>
      </c>
      <c r="N452">
        <f t="shared" si="21"/>
        <v>8821</v>
      </c>
      <c r="O452">
        <f t="shared" si="22"/>
        <v>3969</v>
      </c>
      <c r="P452" s="5">
        <f t="shared" si="23"/>
        <v>6469</v>
      </c>
    </row>
    <row r="453" spans="1:20" ht="15.75" thickBot="1" x14ac:dyDescent="0.3">
      <c r="A453" s="3">
        <v>46117</v>
      </c>
      <c r="B453" s="2" t="s">
        <v>25</v>
      </c>
      <c r="C453" s="2" t="s">
        <v>40</v>
      </c>
      <c r="D453" s="2" t="s">
        <v>61</v>
      </c>
      <c r="E453" s="2" t="s">
        <v>22</v>
      </c>
      <c r="F453" s="2">
        <v>1277955380444250</v>
      </c>
      <c r="G453" s="2">
        <v>1.2024231584645E+17</v>
      </c>
      <c r="H453" s="2">
        <v>1.2024246508913E+17</v>
      </c>
      <c r="I453" s="2">
        <v>1.2024294401448E+17</v>
      </c>
      <c r="J453" s="2" t="s">
        <v>46</v>
      </c>
      <c r="K453" s="4">
        <v>5467</v>
      </c>
      <c r="L453">
        <v>474</v>
      </c>
      <c r="M453">
        <v>1680.01</v>
      </c>
      <c r="N453">
        <f t="shared" si="21"/>
        <v>4920</v>
      </c>
      <c r="O453">
        <f t="shared" si="22"/>
        <v>2214</v>
      </c>
      <c r="P453" s="5">
        <f t="shared" si="23"/>
        <v>3608</v>
      </c>
    </row>
    <row r="454" spans="1:20" ht="15.75" thickBot="1" x14ac:dyDescent="0.3">
      <c r="A454" s="3">
        <v>46117</v>
      </c>
      <c r="B454" s="2" t="s">
        <v>25</v>
      </c>
      <c r="C454" s="2" t="s">
        <v>28</v>
      </c>
      <c r="D454" s="2" t="s">
        <v>65</v>
      </c>
      <c r="E454" s="2" t="s">
        <v>22</v>
      </c>
      <c r="F454" s="2">
        <v>1277955380444250</v>
      </c>
      <c r="G454" s="2">
        <v>1.2024231584645E+17</v>
      </c>
      <c r="H454" s="2">
        <v>1.2024231613167E+17</v>
      </c>
      <c r="I454" s="2">
        <v>1.2024294474555E+17</v>
      </c>
      <c r="J454" s="2" t="s">
        <v>23</v>
      </c>
      <c r="K454" s="4">
        <v>8716</v>
      </c>
      <c r="L454">
        <v>698</v>
      </c>
      <c r="M454">
        <v>1591.57</v>
      </c>
      <c r="N454">
        <f t="shared" si="21"/>
        <v>7844</v>
      </c>
      <c r="O454">
        <f t="shared" si="22"/>
        <v>3530</v>
      </c>
      <c r="P454" s="5">
        <f t="shared" si="23"/>
        <v>5753</v>
      </c>
    </row>
    <row r="455" spans="1:20" ht="15.75" thickBot="1" x14ac:dyDescent="0.3">
      <c r="A455" s="3">
        <v>46117</v>
      </c>
      <c r="B455" s="2" t="s">
        <v>25</v>
      </c>
      <c r="C455" s="2" t="s">
        <v>28</v>
      </c>
      <c r="D455" s="2" t="s">
        <v>65</v>
      </c>
      <c r="E455" s="2" t="s">
        <v>22</v>
      </c>
      <c r="F455" s="2">
        <v>1277955380444250</v>
      </c>
      <c r="G455" s="2">
        <v>1.2024231584645E+17</v>
      </c>
      <c r="H455" s="2">
        <v>1.2024231613167E+17</v>
      </c>
      <c r="I455" s="2">
        <v>1.2024294474555E+17</v>
      </c>
      <c r="J455" s="2" t="s">
        <v>24</v>
      </c>
      <c r="K455" s="4">
        <v>1128</v>
      </c>
      <c r="L455">
        <v>737</v>
      </c>
      <c r="M455">
        <v>1323.51</v>
      </c>
      <c r="N455">
        <f t="shared" si="21"/>
        <v>1015</v>
      </c>
      <c r="O455">
        <f t="shared" si="22"/>
        <v>457</v>
      </c>
      <c r="P455" s="5">
        <f t="shared" si="23"/>
        <v>744</v>
      </c>
    </row>
    <row r="456" spans="1:20" ht="15.75" thickBot="1" x14ac:dyDescent="0.3">
      <c r="A456" s="3">
        <v>46117</v>
      </c>
      <c r="B456" s="2" t="s">
        <v>25</v>
      </c>
      <c r="C456" s="2" t="s">
        <v>30</v>
      </c>
      <c r="D456" s="2" t="s">
        <v>66</v>
      </c>
      <c r="E456" s="2" t="s">
        <v>22</v>
      </c>
      <c r="F456" s="2">
        <v>1277955380444250</v>
      </c>
      <c r="G456" s="2">
        <v>1.2024231584645E+17</v>
      </c>
      <c r="H456" s="2">
        <v>1.2024231592817E+17</v>
      </c>
      <c r="I456" s="2">
        <v>1.2024297479832E+17</v>
      </c>
      <c r="J456" s="2" t="s">
        <v>23</v>
      </c>
      <c r="K456" s="4">
        <v>9115</v>
      </c>
      <c r="L456">
        <v>718</v>
      </c>
      <c r="M456">
        <v>1548.81</v>
      </c>
      <c r="N456">
        <f t="shared" si="21"/>
        <v>8204</v>
      </c>
      <c r="O456">
        <f t="shared" si="22"/>
        <v>3692</v>
      </c>
      <c r="P456" s="5">
        <f t="shared" si="23"/>
        <v>6016</v>
      </c>
    </row>
    <row r="457" spans="1:20" ht="15.75" thickBot="1" x14ac:dyDescent="0.3">
      <c r="A457" s="3">
        <v>46117</v>
      </c>
      <c r="B457" s="2" t="s">
        <v>25</v>
      </c>
      <c r="C457" s="2" t="s">
        <v>30</v>
      </c>
      <c r="D457" s="2" t="s">
        <v>66</v>
      </c>
      <c r="E457" s="2" t="s">
        <v>22</v>
      </c>
      <c r="F457" s="2">
        <v>1277955380444250</v>
      </c>
      <c r="G457" s="2">
        <v>1.2024231584645E+17</v>
      </c>
      <c r="H457" s="2">
        <v>1.2024231592817E+17</v>
      </c>
      <c r="I457" s="2">
        <v>1.2024297479832E+17</v>
      </c>
      <c r="J457" s="2" t="s">
        <v>24</v>
      </c>
      <c r="K457" s="4">
        <v>5680</v>
      </c>
      <c r="L457">
        <v>359</v>
      </c>
      <c r="M457">
        <v>1523.74</v>
      </c>
      <c r="N457">
        <f t="shared" si="21"/>
        <v>5112</v>
      </c>
      <c r="O457">
        <f t="shared" si="22"/>
        <v>2300</v>
      </c>
      <c r="P457" s="5">
        <f t="shared" si="23"/>
        <v>3749</v>
      </c>
    </row>
    <row r="458" spans="1:20" ht="15.75" thickBot="1" x14ac:dyDescent="0.3">
      <c r="A458" s="3">
        <v>46117</v>
      </c>
      <c r="B458" s="2" t="s">
        <v>25</v>
      </c>
      <c r="C458" s="2" t="s">
        <v>32</v>
      </c>
      <c r="D458" s="2" t="s">
        <v>67</v>
      </c>
      <c r="E458" s="2" t="s">
        <v>22</v>
      </c>
      <c r="F458" s="2">
        <v>1277955380444250</v>
      </c>
      <c r="G458" s="2">
        <v>1.2024231584645E+17</v>
      </c>
      <c r="H458" s="2">
        <v>1.2024231584646E+17</v>
      </c>
      <c r="I458" s="2">
        <v>1.2024294450961E+17</v>
      </c>
      <c r="J458" s="2" t="s">
        <v>23</v>
      </c>
      <c r="K458" s="4">
        <v>9612</v>
      </c>
      <c r="L458">
        <v>248</v>
      </c>
      <c r="M458">
        <v>1573.96</v>
      </c>
      <c r="N458">
        <f t="shared" si="21"/>
        <v>8651</v>
      </c>
      <c r="O458">
        <f t="shared" si="22"/>
        <v>3893</v>
      </c>
      <c r="P458" s="5">
        <f t="shared" si="23"/>
        <v>6344</v>
      </c>
    </row>
    <row r="459" spans="1:20" ht="15.75" thickBot="1" x14ac:dyDescent="0.3">
      <c r="A459" s="3">
        <v>46117</v>
      </c>
      <c r="B459" s="2" t="s">
        <v>25</v>
      </c>
      <c r="C459" s="2" t="s">
        <v>32</v>
      </c>
      <c r="D459" s="2" t="s">
        <v>67</v>
      </c>
      <c r="E459" s="2" t="s">
        <v>22</v>
      </c>
      <c r="F459" s="2">
        <v>1277955380444250</v>
      </c>
      <c r="G459" s="2">
        <v>1.2024231584645E+17</v>
      </c>
      <c r="H459" s="2">
        <v>1.2024231584646E+17</v>
      </c>
      <c r="I459" s="2">
        <v>1.2024294450961E+17</v>
      </c>
      <c r="J459" s="2" t="s">
        <v>24</v>
      </c>
      <c r="K459" s="4">
        <v>3713</v>
      </c>
      <c r="L459">
        <v>316</v>
      </c>
      <c r="M459">
        <v>1382.32</v>
      </c>
      <c r="N459">
        <f t="shared" si="21"/>
        <v>3342</v>
      </c>
      <c r="O459">
        <f t="shared" si="22"/>
        <v>1504</v>
      </c>
      <c r="P459" s="5">
        <f t="shared" si="23"/>
        <v>2451</v>
      </c>
    </row>
    <row r="460" spans="1:20" ht="15.75" thickBot="1" x14ac:dyDescent="0.3">
      <c r="A460" s="3">
        <v>46117</v>
      </c>
      <c r="B460" s="2" t="s">
        <v>56</v>
      </c>
      <c r="C460" s="2" t="s">
        <v>57</v>
      </c>
      <c r="D460" s="2" t="s">
        <v>63</v>
      </c>
      <c r="E460" s="2" t="s">
        <v>22</v>
      </c>
      <c r="F460" s="2">
        <v>1277955380444250</v>
      </c>
      <c r="G460" s="2">
        <v>1.2024270854698E+17</v>
      </c>
      <c r="H460" s="2">
        <v>1.2024270854697E+17</v>
      </c>
      <c r="I460" s="2">
        <v>1.2024294325528E+17</v>
      </c>
      <c r="J460" s="2" t="s">
        <v>23</v>
      </c>
      <c r="K460" s="4">
        <v>3267</v>
      </c>
      <c r="L460">
        <v>559</v>
      </c>
      <c r="M460">
        <v>1688.42</v>
      </c>
      <c r="N460">
        <f t="shared" si="21"/>
        <v>2940</v>
      </c>
      <c r="O460">
        <f t="shared" si="22"/>
        <v>1323</v>
      </c>
      <c r="P460" s="5">
        <f t="shared" si="23"/>
        <v>2156</v>
      </c>
    </row>
    <row r="461" spans="1:20" ht="15.75" thickBot="1" x14ac:dyDescent="0.3">
      <c r="A461" s="3">
        <v>46117</v>
      </c>
      <c r="B461" s="2" t="s">
        <v>56</v>
      </c>
      <c r="C461" s="2" t="s">
        <v>57</v>
      </c>
      <c r="D461" s="2" t="s">
        <v>63</v>
      </c>
      <c r="E461" s="2" t="s">
        <v>22</v>
      </c>
      <c r="F461" s="2">
        <v>1277955380444250</v>
      </c>
      <c r="G461" s="2">
        <v>1.2024270854698E+17</v>
      </c>
      <c r="H461" s="2">
        <v>1.2024270854697E+17</v>
      </c>
      <c r="I461" s="2">
        <v>1.2024294325528E+17</v>
      </c>
      <c r="J461" s="2" t="s">
        <v>24</v>
      </c>
      <c r="K461" s="4">
        <v>8757</v>
      </c>
      <c r="L461">
        <v>650</v>
      </c>
      <c r="M461">
        <v>414.25</v>
      </c>
      <c r="N461">
        <f t="shared" si="21"/>
        <v>7881</v>
      </c>
      <c r="O461">
        <f t="shared" si="22"/>
        <v>3546</v>
      </c>
      <c r="P461" s="5">
        <f t="shared" si="23"/>
        <v>5780</v>
      </c>
    </row>
    <row r="462" spans="1:20" ht="15.75" thickBot="1" x14ac:dyDescent="0.3">
      <c r="A462" s="3">
        <v>46117</v>
      </c>
      <c r="B462" s="2" t="s">
        <v>56</v>
      </c>
      <c r="C462" s="2" t="s">
        <v>57</v>
      </c>
      <c r="D462" s="2" t="s">
        <v>63</v>
      </c>
      <c r="E462" s="2" t="s">
        <v>22</v>
      </c>
      <c r="F462" s="2">
        <v>1277955380444250</v>
      </c>
      <c r="G462" s="2">
        <v>1.2024270854698E+17</v>
      </c>
      <c r="H462" s="2">
        <v>1.2024270854697E+17</v>
      </c>
      <c r="I462" s="2">
        <v>1.2024294325528E+17</v>
      </c>
      <c r="J462" s="2" t="s">
        <v>46</v>
      </c>
      <c r="K462" s="4">
        <v>8974</v>
      </c>
      <c r="L462">
        <v>569</v>
      </c>
      <c r="M462">
        <v>1420.52</v>
      </c>
      <c r="N462">
        <f t="shared" si="21"/>
        <v>8077</v>
      </c>
      <c r="O462">
        <f t="shared" si="22"/>
        <v>3635</v>
      </c>
      <c r="P462" s="5">
        <f t="shared" si="23"/>
        <v>5923</v>
      </c>
    </row>
    <row r="463" spans="1:20" ht="15.75" thickBot="1" x14ac:dyDescent="0.3">
      <c r="A463" s="3">
        <v>46118</v>
      </c>
      <c r="B463" s="2" t="s">
        <v>47</v>
      </c>
      <c r="C463" s="2" t="s">
        <v>48</v>
      </c>
      <c r="D463" s="2" t="s">
        <v>59</v>
      </c>
      <c r="E463" s="2" t="s">
        <v>22</v>
      </c>
      <c r="F463" s="2">
        <v>1277955380444250</v>
      </c>
      <c r="G463" s="2">
        <v>1.2024261720294E+17</v>
      </c>
      <c r="H463" s="2">
        <v>1.2024261720296E+17</v>
      </c>
      <c r="I463" s="2">
        <v>1.2024292230769E+17</v>
      </c>
      <c r="J463" s="2" t="s">
        <v>24</v>
      </c>
      <c r="K463" s="4">
        <v>7219</v>
      </c>
      <c r="L463">
        <v>489</v>
      </c>
      <c r="M463">
        <v>1119.3699999999999</v>
      </c>
      <c r="N463">
        <f t="shared" si="21"/>
        <v>6497</v>
      </c>
      <c r="O463">
        <f t="shared" si="22"/>
        <v>2924</v>
      </c>
      <c r="P463" s="5">
        <f t="shared" si="23"/>
        <v>4765</v>
      </c>
      <c r="R463">
        <v>11</v>
      </c>
      <c r="S463">
        <v>33</v>
      </c>
      <c r="T463">
        <v>5</v>
      </c>
    </row>
    <row r="464" spans="1:20" ht="15.75" thickBot="1" x14ac:dyDescent="0.3">
      <c r="A464" s="3">
        <v>46118</v>
      </c>
      <c r="B464" s="2" t="s">
        <v>47</v>
      </c>
      <c r="C464" s="2" t="s">
        <v>48</v>
      </c>
      <c r="D464" s="2" t="s">
        <v>49</v>
      </c>
      <c r="E464" s="2" t="s">
        <v>22</v>
      </c>
      <c r="F464" s="2">
        <v>1277955380444250</v>
      </c>
      <c r="G464" s="2">
        <v>1.2024261720294E+17</v>
      </c>
      <c r="H464" s="2">
        <v>1.2024261720296E+17</v>
      </c>
      <c r="I464" s="2">
        <v>1.2024261720295E+17</v>
      </c>
      <c r="J464" s="2" t="s">
        <v>23</v>
      </c>
      <c r="K464" s="4">
        <v>8590</v>
      </c>
      <c r="L464">
        <v>751</v>
      </c>
      <c r="M464">
        <v>1717.86</v>
      </c>
      <c r="N464">
        <f t="shared" si="21"/>
        <v>7731</v>
      </c>
      <c r="O464">
        <f t="shared" si="22"/>
        <v>3479</v>
      </c>
      <c r="P464" s="5">
        <f t="shared" si="23"/>
        <v>5669</v>
      </c>
      <c r="S464">
        <v>29</v>
      </c>
      <c r="T464">
        <v>4</v>
      </c>
    </row>
    <row r="465" spans="1:20" ht="15.75" thickBot="1" x14ac:dyDescent="0.3">
      <c r="A465" s="3">
        <v>46118</v>
      </c>
      <c r="B465" s="2" t="s">
        <v>47</v>
      </c>
      <c r="C465" s="2" t="s">
        <v>48</v>
      </c>
      <c r="D465" s="2" t="s">
        <v>49</v>
      </c>
      <c r="E465" s="2" t="s">
        <v>22</v>
      </c>
      <c r="F465" s="2">
        <v>1277955380444250</v>
      </c>
      <c r="G465" s="2">
        <v>1.2024261720294E+17</v>
      </c>
      <c r="H465" s="2">
        <v>1.2024261720296E+17</v>
      </c>
      <c r="I465" s="2">
        <v>1.2024261720295E+17</v>
      </c>
      <c r="J465" s="2" t="s">
        <v>24</v>
      </c>
      <c r="K465" s="4">
        <v>6218</v>
      </c>
      <c r="L465">
        <v>196</v>
      </c>
      <c r="M465">
        <v>988.78</v>
      </c>
      <c r="N465">
        <f t="shared" si="21"/>
        <v>5596</v>
      </c>
      <c r="O465">
        <f t="shared" si="22"/>
        <v>2518</v>
      </c>
      <c r="P465" s="5">
        <f t="shared" si="23"/>
        <v>4104</v>
      </c>
      <c r="R465">
        <v>3963</v>
      </c>
      <c r="S465">
        <v>5868</v>
      </c>
      <c r="T465">
        <v>837</v>
      </c>
    </row>
    <row r="466" spans="1:20" ht="15.75" thickBot="1" x14ac:dyDescent="0.3">
      <c r="A466" s="3">
        <v>46118</v>
      </c>
      <c r="B466" s="2" t="s">
        <v>47</v>
      </c>
      <c r="C466" s="2" t="s">
        <v>48</v>
      </c>
      <c r="D466" s="2" t="s">
        <v>60</v>
      </c>
      <c r="E466" s="2" t="s">
        <v>22</v>
      </c>
      <c r="F466" s="2">
        <v>1277955380444250</v>
      </c>
      <c r="G466" s="2">
        <v>1.2024261720294E+17</v>
      </c>
      <c r="H466" s="2">
        <v>1.2024261720296E+17</v>
      </c>
      <c r="I466" s="2">
        <v>1.2024292195261E+17</v>
      </c>
      <c r="J466" s="2" t="s">
        <v>23</v>
      </c>
      <c r="K466" s="4">
        <v>2342</v>
      </c>
      <c r="L466">
        <v>438</v>
      </c>
      <c r="M466">
        <v>1936.08</v>
      </c>
      <c r="N466">
        <f t="shared" si="21"/>
        <v>2108</v>
      </c>
      <c r="O466">
        <f t="shared" si="22"/>
        <v>949</v>
      </c>
      <c r="P466" s="5">
        <f t="shared" si="23"/>
        <v>1546</v>
      </c>
      <c r="R466">
        <v>44131</v>
      </c>
      <c r="S466">
        <v>113462</v>
      </c>
      <c r="T466">
        <v>17735</v>
      </c>
    </row>
    <row r="467" spans="1:20" ht="15.75" thickBot="1" x14ac:dyDescent="0.3">
      <c r="A467" s="3">
        <v>46118</v>
      </c>
      <c r="B467" s="2" t="s">
        <v>47</v>
      </c>
      <c r="C467" s="2" t="s">
        <v>48</v>
      </c>
      <c r="D467" s="2" t="s">
        <v>60</v>
      </c>
      <c r="E467" s="2" t="s">
        <v>22</v>
      </c>
      <c r="F467" s="2">
        <v>1277955380444250</v>
      </c>
      <c r="G467" s="2">
        <v>1.2024261720294E+17</v>
      </c>
      <c r="H467" s="2">
        <v>1.2024261720296E+17</v>
      </c>
      <c r="I467" s="2">
        <v>1.2024292195261E+17</v>
      </c>
      <c r="J467" s="2" t="s">
        <v>24</v>
      </c>
      <c r="K467" s="4">
        <v>2477</v>
      </c>
      <c r="L467">
        <v>357</v>
      </c>
      <c r="M467">
        <v>1682.87</v>
      </c>
      <c r="N467">
        <f t="shared" si="21"/>
        <v>2229</v>
      </c>
      <c r="O467">
        <f t="shared" si="22"/>
        <v>1003</v>
      </c>
      <c r="P467" s="5">
        <f t="shared" si="23"/>
        <v>1635</v>
      </c>
      <c r="R467">
        <v>1511087</v>
      </c>
      <c r="S467">
        <v>4469625</v>
      </c>
      <c r="T467">
        <v>989638</v>
      </c>
    </row>
    <row r="468" spans="1:20" ht="15.75" thickBot="1" x14ac:dyDescent="0.3">
      <c r="A468" s="3">
        <v>46118</v>
      </c>
      <c r="B468" s="2" t="s">
        <v>19</v>
      </c>
      <c r="C468" s="2" t="s">
        <v>20</v>
      </c>
      <c r="D468" s="2" t="s">
        <v>21</v>
      </c>
      <c r="E468" s="2" t="s">
        <v>22</v>
      </c>
      <c r="F468" s="2">
        <v>1277955380444250</v>
      </c>
      <c r="G468" s="2">
        <v>1.2024229057228E+17</v>
      </c>
      <c r="H468" s="2">
        <v>1.2024229057229E+17</v>
      </c>
      <c r="I468" s="2">
        <v>1.2024229057227E+17</v>
      </c>
      <c r="J468" s="2" t="s">
        <v>23</v>
      </c>
      <c r="K468" s="4">
        <v>3083</v>
      </c>
      <c r="L468">
        <v>174</v>
      </c>
      <c r="M468">
        <v>907.83</v>
      </c>
      <c r="N468">
        <f t="shared" si="21"/>
        <v>2775</v>
      </c>
      <c r="O468">
        <f t="shared" si="22"/>
        <v>1249</v>
      </c>
      <c r="P468" s="5">
        <f t="shared" si="23"/>
        <v>2035</v>
      </c>
      <c r="S468">
        <v>651</v>
      </c>
      <c r="T468">
        <v>10</v>
      </c>
    </row>
    <row r="469" spans="1:20" ht="15.75" thickBot="1" x14ac:dyDescent="0.3">
      <c r="A469" s="3">
        <v>46118</v>
      </c>
      <c r="B469" s="2" t="s">
        <v>19</v>
      </c>
      <c r="C469" s="2" t="s">
        <v>20</v>
      </c>
      <c r="D469" s="2" t="s">
        <v>21</v>
      </c>
      <c r="E469" s="2" t="s">
        <v>22</v>
      </c>
      <c r="F469" s="2">
        <v>1277955380444250</v>
      </c>
      <c r="G469" s="2">
        <v>1.2024229057228E+17</v>
      </c>
      <c r="H469" s="2">
        <v>1.2024229057229E+17</v>
      </c>
      <c r="I469" s="2">
        <v>1.2024229057227E+17</v>
      </c>
      <c r="J469" s="2" t="s">
        <v>24</v>
      </c>
      <c r="K469" s="4">
        <v>6628</v>
      </c>
      <c r="L469">
        <v>707</v>
      </c>
      <c r="M469">
        <v>1265.9000000000001</v>
      </c>
      <c r="N469">
        <f t="shared" si="21"/>
        <v>5965</v>
      </c>
      <c r="O469">
        <f t="shared" si="22"/>
        <v>2684</v>
      </c>
      <c r="P469" s="5">
        <f t="shared" si="23"/>
        <v>4374</v>
      </c>
      <c r="S469">
        <v>53394</v>
      </c>
      <c r="T469">
        <v>196</v>
      </c>
    </row>
    <row r="470" spans="1:20" ht="15.75" thickBot="1" x14ac:dyDescent="0.3">
      <c r="A470" s="3">
        <v>46118</v>
      </c>
      <c r="B470" s="2" t="s">
        <v>19</v>
      </c>
      <c r="C470" s="2" t="s">
        <v>20</v>
      </c>
      <c r="D470" s="2" t="s">
        <v>34</v>
      </c>
      <c r="E470" s="2" t="s">
        <v>22</v>
      </c>
      <c r="F470" s="2">
        <v>1277955380444250</v>
      </c>
      <c r="G470" s="2">
        <v>1.2024229057228E+17</v>
      </c>
      <c r="H470" s="2">
        <v>1.2024229057229E+17</v>
      </c>
      <c r="I470" s="2">
        <v>1.2024229334046E+17</v>
      </c>
      <c r="J470" s="2" t="s">
        <v>23</v>
      </c>
      <c r="K470" s="4">
        <v>2929</v>
      </c>
      <c r="L470">
        <v>651</v>
      </c>
      <c r="M470">
        <v>1824.49</v>
      </c>
      <c r="N470">
        <f t="shared" si="21"/>
        <v>2636</v>
      </c>
      <c r="O470">
        <f t="shared" si="22"/>
        <v>1186</v>
      </c>
      <c r="P470" s="5">
        <f t="shared" si="23"/>
        <v>1933</v>
      </c>
      <c r="S470">
        <v>294</v>
      </c>
      <c r="T470">
        <v>1</v>
      </c>
    </row>
    <row r="471" spans="1:20" ht="15.75" thickBot="1" x14ac:dyDescent="0.3">
      <c r="A471" s="3">
        <v>46118</v>
      </c>
      <c r="B471" s="2" t="s">
        <v>19</v>
      </c>
      <c r="C471" s="2" t="s">
        <v>20</v>
      </c>
      <c r="D471" s="2" t="s">
        <v>34</v>
      </c>
      <c r="E471" s="2" t="s">
        <v>22</v>
      </c>
      <c r="F471" s="2">
        <v>1277955380444250</v>
      </c>
      <c r="G471" s="2">
        <v>1.2024229057228E+17</v>
      </c>
      <c r="H471" s="2">
        <v>1.2024229057229E+17</v>
      </c>
      <c r="I471" s="2">
        <v>1.2024229334046E+17</v>
      </c>
      <c r="J471" s="2" t="s">
        <v>24</v>
      </c>
      <c r="K471" s="4">
        <v>1110</v>
      </c>
      <c r="L471">
        <v>142</v>
      </c>
      <c r="M471">
        <v>1127.53</v>
      </c>
      <c r="N471">
        <f t="shared" si="21"/>
        <v>999</v>
      </c>
      <c r="O471">
        <f t="shared" si="22"/>
        <v>450</v>
      </c>
      <c r="P471" s="5">
        <f t="shared" si="23"/>
        <v>733</v>
      </c>
      <c r="S471">
        <v>181409</v>
      </c>
      <c r="T471">
        <v>767</v>
      </c>
    </row>
    <row r="472" spans="1:20" ht="15.75" thickBot="1" x14ac:dyDescent="0.3">
      <c r="A472" s="3">
        <v>46118</v>
      </c>
      <c r="B472" s="2" t="s">
        <v>19</v>
      </c>
      <c r="C472" s="2" t="s">
        <v>50</v>
      </c>
      <c r="D472" s="2" t="s">
        <v>51</v>
      </c>
      <c r="E472" s="2" t="s">
        <v>22</v>
      </c>
      <c r="F472" s="2">
        <v>1277955380444250</v>
      </c>
      <c r="G472" s="2">
        <v>1.2024229057228E+17</v>
      </c>
      <c r="H472" s="2">
        <v>1.2024270613878E+17</v>
      </c>
      <c r="I472" s="2">
        <v>1.202427061388E+17</v>
      </c>
      <c r="J472" s="2" t="s">
        <v>23</v>
      </c>
      <c r="K472" s="4">
        <v>2055</v>
      </c>
      <c r="L472">
        <v>851</v>
      </c>
      <c r="M472">
        <v>1257.19</v>
      </c>
      <c r="N472">
        <f t="shared" si="21"/>
        <v>1850</v>
      </c>
      <c r="O472">
        <f t="shared" si="22"/>
        <v>833</v>
      </c>
      <c r="P472" s="5">
        <f t="shared" si="23"/>
        <v>1356</v>
      </c>
      <c r="S472">
        <v>24153</v>
      </c>
      <c r="T472">
        <v>486</v>
      </c>
    </row>
    <row r="473" spans="1:20" ht="15.75" thickBot="1" x14ac:dyDescent="0.3">
      <c r="A473" s="3">
        <v>46118</v>
      </c>
      <c r="B473" s="2" t="s">
        <v>19</v>
      </c>
      <c r="C473" s="2" t="s">
        <v>50</v>
      </c>
      <c r="D473" s="2" t="s">
        <v>51</v>
      </c>
      <c r="E473" s="2" t="s">
        <v>22</v>
      </c>
      <c r="F473" s="2">
        <v>1277955380444250</v>
      </c>
      <c r="G473" s="2">
        <v>1.2024229057228E+17</v>
      </c>
      <c r="H473" s="2">
        <v>1.2024270613878E+17</v>
      </c>
      <c r="I473" s="2">
        <v>1.202427061388E+17</v>
      </c>
      <c r="J473" s="2" t="s">
        <v>24</v>
      </c>
      <c r="K473" s="4">
        <v>6221</v>
      </c>
      <c r="L473">
        <v>850</v>
      </c>
      <c r="M473">
        <v>1086.01</v>
      </c>
      <c r="N473">
        <f t="shared" si="21"/>
        <v>5599</v>
      </c>
      <c r="O473">
        <f t="shared" si="22"/>
        <v>2520</v>
      </c>
      <c r="P473" s="5">
        <f t="shared" si="23"/>
        <v>4106</v>
      </c>
      <c r="S473">
        <v>985648</v>
      </c>
      <c r="T473">
        <v>5153</v>
      </c>
    </row>
    <row r="474" spans="1:20" ht="15.75" thickBot="1" x14ac:dyDescent="0.3">
      <c r="A474" s="3">
        <v>46118</v>
      </c>
      <c r="B474" s="2" t="s">
        <v>19</v>
      </c>
      <c r="C474" s="2" t="s">
        <v>50</v>
      </c>
      <c r="D474" s="2" t="s">
        <v>51</v>
      </c>
      <c r="E474" s="2" t="s">
        <v>22</v>
      </c>
      <c r="F474" s="2">
        <v>1277955380444250</v>
      </c>
      <c r="G474" s="2">
        <v>1.2024229057228E+17</v>
      </c>
      <c r="H474" s="2">
        <v>1.2024270613878E+17</v>
      </c>
      <c r="I474" s="2">
        <v>1.202427061388E+17</v>
      </c>
      <c r="J474" s="2" t="s">
        <v>36</v>
      </c>
      <c r="K474" s="4">
        <v>7486</v>
      </c>
      <c r="L474">
        <v>855</v>
      </c>
      <c r="M474">
        <v>1615.1</v>
      </c>
      <c r="N474">
        <f t="shared" si="21"/>
        <v>6737</v>
      </c>
      <c r="O474">
        <f t="shared" si="22"/>
        <v>3032</v>
      </c>
      <c r="P474" s="5">
        <f t="shared" si="23"/>
        <v>4941</v>
      </c>
      <c r="S474">
        <v>1</v>
      </c>
    </row>
    <row r="475" spans="1:20" ht="15.75" thickBot="1" x14ac:dyDescent="0.3">
      <c r="A475" s="3">
        <v>46118</v>
      </c>
      <c r="B475" s="2" t="s">
        <v>19</v>
      </c>
      <c r="C475" s="2" t="s">
        <v>50</v>
      </c>
      <c r="D475" s="2" t="s">
        <v>51</v>
      </c>
      <c r="E475" s="2" t="s">
        <v>22</v>
      </c>
      <c r="F475" s="2">
        <v>1277955380444250</v>
      </c>
      <c r="G475" s="2">
        <v>1.2024229057228E+17</v>
      </c>
      <c r="H475" s="2">
        <v>1.2024270613878E+17</v>
      </c>
      <c r="I475" s="2">
        <v>1.202427061388E+17</v>
      </c>
      <c r="J475" s="2" t="s">
        <v>52</v>
      </c>
      <c r="K475" s="4">
        <v>1622</v>
      </c>
      <c r="L475">
        <v>528</v>
      </c>
      <c r="M475">
        <v>111.39</v>
      </c>
      <c r="N475">
        <f t="shared" si="21"/>
        <v>1460</v>
      </c>
      <c r="O475">
        <f t="shared" si="22"/>
        <v>657</v>
      </c>
      <c r="P475" s="5">
        <f t="shared" si="23"/>
        <v>1071</v>
      </c>
      <c r="S475">
        <v>6</v>
      </c>
      <c r="T475">
        <v>1</v>
      </c>
    </row>
    <row r="476" spans="1:20" ht="15.75" thickBot="1" x14ac:dyDescent="0.3">
      <c r="A476" s="3">
        <v>46118</v>
      </c>
      <c r="B476" s="2" t="s">
        <v>19</v>
      </c>
      <c r="C476" s="2" t="s">
        <v>50</v>
      </c>
      <c r="D476" s="2" t="s">
        <v>53</v>
      </c>
      <c r="E476" s="2" t="s">
        <v>22</v>
      </c>
      <c r="F476" s="2">
        <v>1277955380444250</v>
      </c>
      <c r="G476" s="2">
        <v>1.2024229057228E+17</v>
      </c>
      <c r="H476" s="2">
        <v>1.2024270613878E+17</v>
      </c>
      <c r="I476" s="2">
        <v>1.2024270613881E+17</v>
      </c>
      <c r="J476" s="2" t="s">
        <v>23</v>
      </c>
      <c r="K476" s="4">
        <v>6732</v>
      </c>
      <c r="L476">
        <v>340</v>
      </c>
      <c r="M476">
        <v>1295.67</v>
      </c>
      <c r="N476">
        <f t="shared" si="21"/>
        <v>6059</v>
      </c>
      <c r="O476">
        <f t="shared" si="22"/>
        <v>2727</v>
      </c>
      <c r="P476" s="5">
        <f t="shared" si="23"/>
        <v>4443</v>
      </c>
      <c r="S476">
        <v>180</v>
      </c>
    </row>
    <row r="477" spans="1:20" ht="15.75" thickBot="1" x14ac:dyDescent="0.3">
      <c r="A477" s="3">
        <v>46118</v>
      </c>
      <c r="B477" s="2" t="s">
        <v>19</v>
      </c>
      <c r="C477" s="2" t="s">
        <v>50</v>
      </c>
      <c r="D477" s="2" t="s">
        <v>53</v>
      </c>
      <c r="E477" s="2" t="s">
        <v>22</v>
      </c>
      <c r="F477" s="2">
        <v>1277955380444250</v>
      </c>
      <c r="G477" s="2">
        <v>1.2024229057228E+17</v>
      </c>
      <c r="H477" s="2">
        <v>1.2024270613878E+17</v>
      </c>
      <c r="I477" s="2">
        <v>1.2024270613881E+17</v>
      </c>
      <c r="J477" s="2" t="s">
        <v>24</v>
      </c>
      <c r="K477" s="4">
        <v>8425</v>
      </c>
      <c r="L477">
        <v>499</v>
      </c>
      <c r="M477">
        <v>1616.21</v>
      </c>
      <c r="N477">
        <f t="shared" si="21"/>
        <v>7583</v>
      </c>
      <c r="O477">
        <f t="shared" si="22"/>
        <v>3412</v>
      </c>
      <c r="P477" s="5">
        <f t="shared" si="23"/>
        <v>5561</v>
      </c>
      <c r="S477">
        <v>14408</v>
      </c>
      <c r="T477">
        <v>53</v>
      </c>
    </row>
    <row r="478" spans="1:20" ht="15.75" thickBot="1" x14ac:dyDescent="0.3">
      <c r="A478" s="3">
        <v>46118</v>
      </c>
      <c r="B478" s="2" t="s">
        <v>19</v>
      </c>
      <c r="C478" s="2" t="s">
        <v>50</v>
      </c>
      <c r="D478" s="2" t="s">
        <v>53</v>
      </c>
      <c r="E478" s="2" t="s">
        <v>22</v>
      </c>
      <c r="F478" s="2">
        <v>1277955380444250</v>
      </c>
      <c r="G478" s="2">
        <v>1.2024229057228E+17</v>
      </c>
      <c r="H478" s="2">
        <v>1.2024270613878E+17</v>
      </c>
      <c r="I478" s="2">
        <v>1.2024270613881E+17</v>
      </c>
      <c r="J478" s="2" t="s">
        <v>52</v>
      </c>
      <c r="K478" s="4">
        <v>8767</v>
      </c>
      <c r="L478">
        <v>951</v>
      </c>
      <c r="M478">
        <v>364.32</v>
      </c>
      <c r="N478">
        <f t="shared" si="21"/>
        <v>7890</v>
      </c>
      <c r="O478">
        <f t="shared" si="22"/>
        <v>3551</v>
      </c>
      <c r="P478" s="5">
        <f t="shared" si="23"/>
        <v>5786</v>
      </c>
      <c r="S478">
        <v>2</v>
      </c>
    </row>
    <row r="479" spans="1:20" ht="15.75" thickBot="1" x14ac:dyDescent="0.3">
      <c r="A479" s="3">
        <v>46118</v>
      </c>
      <c r="B479" s="2" t="s">
        <v>19</v>
      </c>
      <c r="C479" s="2" t="s">
        <v>50</v>
      </c>
      <c r="D479" s="2" t="s">
        <v>54</v>
      </c>
      <c r="E479" s="2" t="s">
        <v>22</v>
      </c>
      <c r="F479" s="2">
        <v>1277955380444250</v>
      </c>
      <c r="G479" s="2">
        <v>1.2024229057228E+17</v>
      </c>
      <c r="H479" s="2">
        <v>1.2024270613878E+17</v>
      </c>
      <c r="I479" s="2">
        <v>1.2024270623134E+17</v>
      </c>
      <c r="J479" s="2" t="s">
        <v>23</v>
      </c>
      <c r="K479" s="4">
        <v>4599</v>
      </c>
      <c r="L479">
        <v>437</v>
      </c>
      <c r="M479">
        <v>630.91</v>
      </c>
      <c r="N479">
        <f t="shared" si="21"/>
        <v>4139</v>
      </c>
      <c r="O479">
        <f t="shared" si="22"/>
        <v>1863</v>
      </c>
      <c r="P479" s="5">
        <f t="shared" si="23"/>
        <v>3035</v>
      </c>
      <c r="S479">
        <v>1475</v>
      </c>
      <c r="T479">
        <v>5</v>
      </c>
    </row>
    <row r="480" spans="1:20" ht="15.75" thickBot="1" x14ac:dyDescent="0.3">
      <c r="A480" s="3">
        <v>46118</v>
      </c>
      <c r="B480" s="2" t="s">
        <v>19</v>
      </c>
      <c r="C480" s="2" t="s">
        <v>50</v>
      </c>
      <c r="D480" s="2" t="s">
        <v>54</v>
      </c>
      <c r="E480" s="2" t="s">
        <v>22</v>
      </c>
      <c r="F480" s="2">
        <v>1277955380444250</v>
      </c>
      <c r="G480" s="2">
        <v>1.2024229057228E+17</v>
      </c>
      <c r="H480" s="2">
        <v>1.2024270613878E+17</v>
      </c>
      <c r="I480" s="2">
        <v>1.2024270623134E+17</v>
      </c>
      <c r="J480" s="2" t="s">
        <v>24</v>
      </c>
      <c r="K480" s="4">
        <v>5574</v>
      </c>
      <c r="L480">
        <v>691</v>
      </c>
      <c r="M480">
        <v>265.3</v>
      </c>
      <c r="N480">
        <f t="shared" si="21"/>
        <v>5017</v>
      </c>
      <c r="O480">
        <f t="shared" si="22"/>
        <v>2258</v>
      </c>
      <c r="P480" s="5">
        <f t="shared" si="23"/>
        <v>3679</v>
      </c>
      <c r="S480">
        <v>208303</v>
      </c>
      <c r="T480">
        <v>858</v>
      </c>
    </row>
    <row r="481" spans="1:20" ht="15.75" thickBot="1" x14ac:dyDescent="0.3">
      <c r="A481" s="3">
        <v>46118</v>
      </c>
      <c r="B481" s="2" t="s">
        <v>19</v>
      </c>
      <c r="C481" s="2" t="s">
        <v>50</v>
      </c>
      <c r="D481" s="2" t="s">
        <v>54</v>
      </c>
      <c r="E481" s="2" t="s">
        <v>22</v>
      </c>
      <c r="F481" s="2">
        <v>1277955380444250</v>
      </c>
      <c r="G481" s="2">
        <v>1.2024229057228E+17</v>
      </c>
      <c r="H481" s="2">
        <v>1.2024270613878E+17</v>
      </c>
      <c r="I481" s="2">
        <v>1.2024270623134E+17</v>
      </c>
      <c r="J481" s="2" t="s">
        <v>52</v>
      </c>
      <c r="K481" s="4">
        <v>1998</v>
      </c>
      <c r="L481">
        <v>610</v>
      </c>
      <c r="M481">
        <v>1958.49</v>
      </c>
      <c r="N481">
        <f t="shared" si="21"/>
        <v>1798</v>
      </c>
      <c r="O481">
        <f t="shared" si="22"/>
        <v>809</v>
      </c>
      <c r="P481" s="5">
        <f t="shared" si="23"/>
        <v>1319</v>
      </c>
      <c r="S481">
        <v>2029</v>
      </c>
      <c r="T481">
        <v>39</v>
      </c>
    </row>
    <row r="482" spans="1:20" ht="15.75" thickBot="1" x14ac:dyDescent="0.3">
      <c r="A482" s="3">
        <v>46118</v>
      </c>
      <c r="B482" s="2" t="s">
        <v>25</v>
      </c>
      <c r="C482" s="2" t="s">
        <v>40</v>
      </c>
      <c r="D482" s="2" t="s">
        <v>64</v>
      </c>
      <c r="E482" s="2" t="s">
        <v>22</v>
      </c>
      <c r="F482" s="2">
        <v>1277955380444250</v>
      </c>
      <c r="G482" s="2">
        <v>1.2024231584645E+17</v>
      </c>
      <c r="H482" s="2">
        <v>1.2024246508913E+17</v>
      </c>
      <c r="I482" s="2">
        <v>1.2024297553794E+17</v>
      </c>
      <c r="J482" s="2" t="s">
        <v>23</v>
      </c>
      <c r="K482" s="4">
        <v>3282</v>
      </c>
      <c r="L482">
        <v>169</v>
      </c>
      <c r="M482">
        <v>877.17</v>
      </c>
      <c r="N482">
        <f t="shared" si="21"/>
        <v>2954</v>
      </c>
      <c r="O482">
        <f t="shared" si="22"/>
        <v>1329</v>
      </c>
      <c r="P482" s="5">
        <f t="shared" si="23"/>
        <v>2166</v>
      </c>
    </row>
    <row r="483" spans="1:20" ht="15.75" thickBot="1" x14ac:dyDescent="0.3">
      <c r="A483" s="3">
        <v>46118</v>
      </c>
      <c r="B483" s="2" t="s">
        <v>25</v>
      </c>
      <c r="C483" s="2" t="s">
        <v>40</v>
      </c>
      <c r="D483" s="2" t="s">
        <v>64</v>
      </c>
      <c r="E483" s="2" t="s">
        <v>22</v>
      </c>
      <c r="F483" s="2">
        <v>1277955380444250</v>
      </c>
      <c r="G483" s="2">
        <v>1.2024231584645E+17</v>
      </c>
      <c r="H483" s="2">
        <v>1.2024246508913E+17</v>
      </c>
      <c r="I483" s="2">
        <v>1.2024297553794E+17</v>
      </c>
      <c r="J483" s="2" t="s">
        <v>24</v>
      </c>
      <c r="K483" s="4">
        <v>6493</v>
      </c>
      <c r="L483">
        <v>368</v>
      </c>
      <c r="M483">
        <v>1777.25</v>
      </c>
      <c r="N483">
        <f t="shared" si="21"/>
        <v>5844</v>
      </c>
      <c r="O483">
        <f t="shared" si="22"/>
        <v>2630</v>
      </c>
      <c r="P483" s="5">
        <f t="shared" si="23"/>
        <v>4285</v>
      </c>
    </row>
    <row r="484" spans="1:20" ht="15.75" thickBot="1" x14ac:dyDescent="0.3">
      <c r="A484" s="3">
        <v>46118</v>
      </c>
      <c r="B484" s="2" t="s">
        <v>25</v>
      </c>
      <c r="C484" s="2" t="s">
        <v>40</v>
      </c>
      <c r="D484" s="2" t="s">
        <v>68</v>
      </c>
      <c r="E484" s="2" t="s">
        <v>22</v>
      </c>
      <c r="F484" s="2">
        <v>1277955380444250</v>
      </c>
      <c r="G484" s="2">
        <v>1.2024231584645E+17</v>
      </c>
      <c r="H484" s="2">
        <v>1.2024246508913E+17</v>
      </c>
      <c r="I484" s="2">
        <v>1.2024321084261E+17</v>
      </c>
      <c r="J484" s="2" t="s">
        <v>23</v>
      </c>
      <c r="K484" s="4">
        <v>1624</v>
      </c>
      <c r="L484">
        <v>756</v>
      </c>
      <c r="M484">
        <v>1522.55</v>
      </c>
      <c r="N484">
        <f t="shared" si="21"/>
        <v>1462</v>
      </c>
      <c r="O484">
        <f t="shared" si="22"/>
        <v>658</v>
      </c>
      <c r="P484" s="5">
        <f t="shared" si="23"/>
        <v>1072</v>
      </c>
    </row>
    <row r="485" spans="1:20" ht="15.75" thickBot="1" x14ac:dyDescent="0.3">
      <c r="A485" s="3">
        <v>46118</v>
      </c>
      <c r="B485" s="2" t="s">
        <v>25</v>
      </c>
      <c r="C485" s="2" t="s">
        <v>40</v>
      </c>
      <c r="D485" s="2" t="s">
        <v>68</v>
      </c>
      <c r="E485" s="2" t="s">
        <v>22</v>
      </c>
      <c r="F485" s="2">
        <v>1277955380444250</v>
      </c>
      <c r="G485" s="2">
        <v>1.2024231584645E+17</v>
      </c>
      <c r="H485" s="2">
        <v>1.2024246508913E+17</v>
      </c>
      <c r="I485" s="2">
        <v>1.2024321084261E+17</v>
      </c>
      <c r="J485" s="2" t="s">
        <v>24</v>
      </c>
      <c r="K485" s="4">
        <v>1644</v>
      </c>
      <c r="L485">
        <v>213</v>
      </c>
      <c r="M485">
        <v>403.61</v>
      </c>
      <c r="N485">
        <f t="shared" si="21"/>
        <v>1480</v>
      </c>
      <c r="O485">
        <f t="shared" si="22"/>
        <v>666</v>
      </c>
      <c r="P485" s="5">
        <f t="shared" si="23"/>
        <v>1085</v>
      </c>
    </row>
    <row r="486" spans="1:20" ht="15.75" thickBot="1" x14ac:dyDescent="0.3">
      <c r="A486" s="3">
        <v>46118</v>
      </c>
      <c r="B486" s="2" t="s">
        <v>25</v>
      </c>
      <c r="C486" s="2" t="s">
        <v>40</v>
      </c>
      <c r="D486" s="2" t="s">
        <v>61</v>
      </c>
      <c r="E486" s="2" t="s">
        <v>22</v>
      </c>
      <c r="F486" s="2">
        <v>1277955380444250</v>
      </c>
      <c r="G486" s="2">
        <v>1.2024231584645E+17</v>
      </c>
      <c r="H486" s="2">
        <v>1.2024246508913E+17</v>
      </c>
      <c r="I486" s="2">
        <v>1.2024294401448E+17</v>
      </c>
      <c r="J486" s="2" t="s">
        <v>23</v>
      </c>
      <c r="K486" s="4">
        <v>9791</v>
      </c>
      <c r="L486">
        <v>593</v>
      </c>
      <c r="M486">
        <v>782.53</v>
      </c>
      <c r="N486">
        <f t="shared" si="21"/>
        <v>8812</v>
      </c>
      <c r="O486">
        <f t="shared" si="22"/>
        <v>3965</v>
      </c>
      <c r="P486" s="5">
        <f t="shared" si="23"/>
        <v>6462</v>
      </c>
    </row>
    <row r="487" spans="1:20" ht="15.75" thickBot="1" x14ac:dyDescent="0.3">
      <c r="A487" s="3">
        <v>46118</v>
      </c>
      <c r="B487" s="2" t="s">
        <v>25</v>
      </c>
      <c r="C487" s="2" t="s">
        <v>40</v>
      </c>
      <c r="D487" s="2" t="s">
        <v>61</v>
      </c>
      <c r="E487" s="2" t="s">
        <v>22</v>
      </c>
      <c r="F487" s="2">
        <v>1277955380444250</v>
      </c>
      <c r="G487" s="2">
        <v>1.2024231584645E+17</v>
      </c>
      <c r="H487" s="2">
        <v>1.2024246508913E+17</v>
      </c>
      <c r="I487" s="2">
        <v>1.2024294401448E+17</v>
      </c>
      <c r="J487" s="2" t="s">
        <v>24</v>
      </c>
      <c r="K487" s="4">
        <v>5047</v>
      </c>
      <c r="L487">
        <v>220</v>
      </c>
      <c r="M487">
        <v>441.8</v>
      </c>
      <c r="N487">
        <f t="shared" si="21"/>
        <v>4542</v>
      </c>
      <c r="O487">
        <f t="shared" si="22"/>
        <v>2044</v>
      </c>
      <c r="P487" s="5">
        <f t="shared" si="23"/>
        <v>3331</v>
      </c>
    </row>
    <row r="488" spans="1:20" ht="15.75" thickBot="1" x14ac:dyDescent="0.3">
      <c r="A488" s="3">
        <v>46118</v>
      </c>
      <c r="B488" s="2" t="s">
        <v>25</v>
      </c>
      <c r="C488" s="2" t="s">
        <v>40</v>
      </c>
      <c r="D488" s="2" t="s">
        <v>61</v>
      </c>
      <c r="E488" s="2" t="s">
        <v>22</v>
      </c>
      <c r="F488" s="2">
        <v>1277955380444250</v>
      </c>
      <c r="G488" s="2">
        <v>1.2024231584645E+17</v>
      </c>
      <c r="H488" s="2">
        <v>1.2024246508913E+17</v>
      </c>
      <c r="I488" s="2">
        <v>1.2024294401448E+17</v>
      </c>
      <c r="J488" s="2" t="s">
        <v>46</v>
      </c>
      <c r="K488" s="4">
        <v>9075</v>
      </c>
      <c r="L488">
        <v>992</v>
      </c>
      <c r="M488">
        <v>603.22</v>
      </c>
      <c r="N488">
        <f t="shared" si="21"/>
        <v>8168</v>
      </c>
      <c r="O488">
        <f t="shared" si="22"/>
        <v>3676</v>
      </c>
      <c r="P488" s="5">
        <f t="shared" si="23"/>
        <v>5990</v>
      </c>
    </row>
    <row r="489" spans="1:20" ht="15.75" thickBot="1" x14ac:dyDescent="0.3">
      <c r="A489" s="3">
        <v>46118</v>
      </c>
      <c r="B489" s="2" t="s">
        <v>25</v>
      </c>
      <c r="C489" s="2" t="s">
        <v>28</v>
      </c>
      <c r="D489" s="2" t="s">
        <v>65</v>
      </c>
      <c r="E489" s="2" t="s">
        <v>22</v>
      </c>
      <c r="F489" s="2">
        <v>1277955380444250</v>
      </c>
      <c r="G489" s="2">
        <v>1.2024231584645E+17</v>
      </c>
      <c r="H489" s="2">
        <v>1.2024231613167E+17</v>
      </c>
      <c r="I489" s="2">
        <v>1.2024294474555E+17</v>
      </c>
      <c r="J489" s="2" t="s">
        <v>23</v>
      </c>
      <c r="K489" s="4">
        <v>3512</v>
      </c>
      <c r="L489">
        <v>332</v>
      </c>
      <c r="M489">
        <v>1601.41</v>
      </c>
      <c r="N489">
        <f t="shared" si="21"/>
        <v>3161</v>
      </c>
      <c r="O489">
        <f t="shared" si="22"/>
        <v>1422</v>
      </c>
      <c r="P489" s="5">
        <f t="shared" si="23"/>
        <v>2318</v>
      </c>
    </row>
    <row r="490" spans="1:20" ht="15.75" thickBot="1" x14ac:dyDescent="0.3">
      <c r="A490" s="3">
        <v>46118</v>
      </c>
      <c r="B490" s="2" t="s">
        <v>25</v>
      </c>
      <c r="C490" s="2" t="s">
        <v>28</v>
      </c>
      <c r="D490" s="2" t="s">
        <v>65</v>
      </c>
      <c r="E490" s="2" t="s">
        <v>22</v>
      </c>
      <c r="F490" s="2">
        <v>1277955380444250</v>
      </c>
      <c r="G490" s="2">
        <v>1.2024231584645E+17</v>
      </c>
      <c r="H490" s="2">
        <v>1.2024231613167E+17</v>
      </c>
      <c r="I490" s="2">
        <v>1.2024294474555E+17</v>
      </c>
      <c r="J490" s="2" t="s">
        <v>24</v>
      </c>
      <c r="K490" s="4">
        <v>8575</v>
      </c>
      <c r="L490">
        <v>225</v>
      </c>
      <c r="M490">
        <v>496.68</v>
      </c>
      <c r="N490">
        <f t="shared" si="21"/>
        <v>7718</v>
      </c>
      <c r="O490">
        <f t="shared" si="22"/>
        <v>3473</v>
      </c>
      <c r="P490" s="5">
        <f t="shared" si="23"/>
        <v>5660</v>
      </c>
    </row>
    <row r="491" spans="1:20" ht="15.75" thickBot="1" x14ac:dyDescent="0.3">
      <c r="A491" s="3">
        <v>46118</v>
      </c>
      <c r="B491" s="2" t="s">
        <v>25</v>
      </c>
      <c r="C491" s="2" t="s">
        <v>28</v>
      </c>
      <c r="D491" s="2" t="s">
        <v>69</v>
      </c>
      <c r="E491" s="2" t="s">
        <v>22</v>
      </c>
      <c r="F491" s="2">
        <v>1277955380444250</v>
      </c>
      <c r="G491" s="2">
        <v>1.2024231584645E+17</v>
      </c>
      <c r="H491" s="2">
        <v>1.2024231613167E+17</v>
      </c>
      <c r="I491" s="2">
        <v>1.2024321114399E+17</v>
      </c>
      <c r="J491" s="2" t="s">
        <v>23</v>
      </c>
      <c r="K491" s="4">
        <v>2397</v>
      </c>
      <c r="L491">
        <v>767</v>
      </c>
      <c r="M491">
        <v>1596.07</v>
      </c>
      <c r="N491">
        <f t="shared" si="21"/>
        <v>2157</v>
      </c>
      <c r="O491">
        <f t="shared" si="22"/>
        <v>971</v>
      </c>
      <c r="P491" s="5">
        <f t="shared" si="23"/>
        <v>1582</v>
      </c>
    </row>
    <row r="492" spans="1:20" ht="15.75" thickBot="1" x14ac:dyDescent="0.3">
      <c r="A492" s="3">
        <v>46118</v>
      </c>
      <c r="B492" s="2" t="s">
        <v>25</v>
      </c>
      <c r="C492" s="2" t="s">
        <v>28</v>
      </c>
      <c r="D492" s="2" t="s">
        <v>69</v>
      </c>
      <c r="E492" s="2" t="s">
        <v>22</v>
      </c>
      <c r="F492" s="2">
        <v>1277955380444250</v>
      </c>
      <c r="G492" s="2">
        <v>1.2024231584645E+17</v>
      </c>
      <c r="H492" s="2">
        <v>1.2024231613167E+17</v>
      </c>
      <c r="I492" s="2">
        <v>1.2024321114399E+17</v>
      </c>
      <c r="J492" s="2" t="s">
        <v>24</v>
      </c>
      <c r="K492" s="4">
        <v>1372</v>
      </c>
      <c r="L492">
        <v>832</v>
      </c>
      <c r="M492">
        <v>1309.5899999999999</v>
      </c>
      <c r="N492">
        <f t="shared" si="21"/>
        <v>1235</v>
      </c>
      <c r="O492">
        <f t="shared" si="22"/>
        <v>556</v>
      </c>
      <c r="P492" s="5">
        <f t="shared" si="23"/>
        <v>906</v>
      </c>
    </row>
    <row r="493" spans="1:20" ht="15.75" thickBot="1" x14ac:dyDescent="0.3">
      <c r="A493" s="3">
        <v>46118</v>
      </c>
      <c r="B493" s="2" t="s">
        <v>25</v>
      </c>
      <c r="C493" s="2" t="s">
        <v>30</v>
      </c>
      <c r="D493" s="2" t="s">
        <v>66</v>
      </c>
      <c r="E493" s="2" t="s">
        <v>22</v>
      </c>
      <c r="F493" s="2">
        <v>1277955380444250</v>
      </c>
      <c r="G493" s="2">
        <v>1.2024231584645E+17</v>
      </c>
      <c r="H493" s="2">
        <v>1.2024231592817E+17</v>
      </c>
      <c r="I493" s="2">
        <v>1.2024297479832E+17</v>
      </c>
      <c r="J493" s="2" t="s">
        <v>23</v>
      </c>
      <c r="K493" s="4">
        <v>6913</v>
      </c>
      <c r="L493">
        <v>210</v>
      </c>
      <c r="M493">
        <v>1775.25</v>
      </c>
      <c r="N493">
        <f t="shared" si="21"/>
        <v>6222</v>
      </c>
      <c r="O493">
        <f t="shared" si="22"/>
        <v>2800</v>
      </c>
      <c r="P493" s="5">
        <f t="shared" si="23"/>
        <v>4563</v>
      </c>
    </row>
    <row r="494" spans="1:20" ht="15.75" thickBot="1" x14ac:dyDescent="0.3">
      <c r="A494" s="3">
        <v>46118</v>
      </c>
      <c r="B494" s="2" t="s">
        <v>25</v>
      </c>
      <c r="C494" s="2" t="s">
        <v>30</v>
      </c>
      <c r="D494" s="2" t="s">
        <v>66</v>
      </c>
      <c r="E494" s="2" t="s">
        <v>22</v>
      </c>
      <c r="F494" s="2">
        <v>1277955380444250</v>
      </c>
      <c r="G494" s="2">
        <v>1.2024231584645E+17</v>
      </c>
      <c r="H494" s="2">
        <v>1.2024231592817E+17</v>
      </c>
      <c r="I494" s="2">
        <v>1.2024297479832E+17</v>
      </c>
      <c r="J494" s="2" t="s">
        <v>24</v>
      </c>
      <c r="K494" s="4">
        <v>1723</v>
      </c>
      <c r="L494">
        <v>835</v>
      </c>
      <c r="M494">
        <v>1269.45</v>
      </c>
      <c r="N494">
        <f t="shared" si="21"/>
        <v>1551</v>
      </c>
      <c r="O494">
        <f t="shared" si="22"/>
        <v>698</v>
      </c>
      <c r="P494" s="5">
        <f t="shared" si="23"/>
        <v>1137</v>
      </c>
    </row>
    <row r="495" spans="1:20" ht="15.75" thickBot="1" x14ac:dyDescent="0.3">
      <c r="A495" s="3">
        <v>46118</v>
      </c>
      <c r="B495" s="2" t="s">
        <v>25</v>
      </c>
      <c r="C495" s="2" t="s">
        <v>30</v>
      </c>
      <c r="D495" s="2" t="s">
        <v>70</v>
      </c>
      <c r="E495" s="2" t="s">
        <v>22</v>
      </c>
      <c r="F495" s="2">
        <v>1277955380444250</v>
      </c>
      <c r="G495" s="2">
        <v>1.2024231584645E+17</v>
      </c>
      <c r="H495" s="2">
        <v>1.2024231592817E+17</v>
      </c>
      <c r="I495" s="2">
        <v>1.2024321332497E+17</v>
      </c>
      <c r="J495" s="2" t="s">
        <v>23</v>
      </c>
      <c r="K495" s="4">
        <v>7978</v>
      </c>
      <c r="L495">
        <v>490</v>
      </c>
      <c r="M495">
        <v>177.95</v>
      </c>
      <c r="N495">
        <f t="shared" si="21"/>
        <v>7180</v>
      </c>
      <c r="O495">
        <f t="shared" si="22"/>
        <v>3231</v>
      </c>
      <c r="P495" s="5">
        <f t="shared" si="23"/>
        <v>5265</v>
      </c>
    </row>
    <row r="496" spans="1:20" ht="15.75" thickBot="1" x14ac:dyDescent="0.3">
      <c r="A496" s="3">
        <v>46118</v>
      </c>
      <c r="B496" s="2" t="s">
        <v>25</v>
      </c>
      <c r="C496" s="2" t="s">
        <v>30</v>
      </c>
      <c r="D496" s="2" t="s">
        <v>70</v>
      </c>
      <c r="E496" s="2" t="s">
        <v>22</v>
      </c>
      <c r="F496" s="2">
        <v>1277955380444250</v>
      </c>
      <c r="G496" s="2">
        <v>1.2024231584645E+17</v>
      </c>
      <c r="H496" s="2">
        <v>1.2024231592817E+17</v>
      </c>
      <c r="I496" s="2">
        <v>1.2024321332497E+17</v>
      </c>
      <c r="J496" s="2" t="s">
        <v>24</v>
      </c>
      <c r="K496" s="4">
        <v>6922</v>
      </c>
      <c r="L496">
        <v>192</v>
      </c>
      <c r="M496">
        <v>1035.3800000000001</v>
      </c>
      <c r="N496">
        <f t="shared" si="21"/>
        <v>6230</v>
      </c>
      <c r="O496">
        <f t="shared" si="22"/>
        <v>2804</v>
      </c>
      <c r="P496" s="5">
        <f t="shared" si="23"/>
        <v>4569</v>
      </c>
    </row>
    <row r="497" spans="1:20" ht="15.75" thickBot="1" x14ac:dyDescent="0.3">
      <c r="A497" s="3">
        <v>46118</v>
      </c>
      <c r="B497" s="2" t="s">
        <v>25</v>
      </c>
      <c r="C497" s="2" t="s">
        <v>32</v>
      </c>
      <c r="D497" s="2" t="s">
        <v>67</v>
      </c>
      <c r="E497" s="2" t="s">
        <v>22</v>
      </c>
      <c r="F497" s="2">
        <v>1277955380444250</v>
      </c>
      <c r="G497" s="2">
        <v>1.2024231584645E+17</v>
      </c>
      <c r="H497" s="2">
        <v>1.2024231584646E+17</v>
      </c>
      <c r="I497" s="2">
        <v>1.2024294450961E+17</v>
      </c>
      <c r="J497" s="2" t="s">
        <v>23</v>
      </c>
      <c r="K497" s="4">
        <v>4303</v>
      </c>
      <c r="L497">
        <v>377</v>
      </c>
      <c r="M497">
        <v>1537.16</v>
      </c>
      <c r="N497">
        <f t="shared" si="21"/>
        <v>3873</v>
      </c>
      <c r="O497">
        <f t="shared" si="22"/>
        <v>1743</v>
      </c>
      <c r="P497" s="5">
        <f t="shared" si="23"/>
        <v>2840</v>
      </c>
    </row>
    <row r="498" spans="1:20" ht="15.75" thickBot="1" x14ac:dyDescent="0.3">
      <c r="A498" s="3">
        <v>46118</v>
      </c>
      <c r="B498" s="2" t="s">
        <v>25</v>
      </c>
      <c r="C498" s="2" t="s">
        <v>32</v>
      </c>
      <c r="D498" s="2" t="s">
        <v>67</v>
      </c>
      <c r="E498" s="2" t="s">
        <v>22</v>
      </c>
      <c r="F498" s="2">
        <v>1277955380444250</v>
      </c>
      <c r="G498" s="2">
        <v>1.2024231584645E+17</v>
      </c>
      <c r="H498" s="2">
        <v>1.2024231584646E+17</v>
      </c>
      <c r="I498" s="2">
        <v>1.2024294450961E+17</v>
      </c>
      <c r="J498" s="2" t="s">
        <v>24</v>
      </c>
      <c r="K498" s="4">
        <v>2712</v>
      </c>
      <c r="L498">
        <v>951</v>
      </c>
      <c r="M498">
        <v>1632.77</v>
      </c>
      <c r="N498">
        <f t="shared" si="21"/>
        <v>2441</v>
      </c>
      <c r="O498">
        <f t="shared" si="22"/>
        <v>1098</v>
      </c>
      <c r="P498" s="5">
        <f t="shared" si="23"/>
        <v>1790</v>
      </c>
    </row>
    <row r="499" spans="1:20" ht="15.75" thickBot="1" x14ac:dyDescent="0.3">
      <c r="A499" s="3">
        <v>46118</v>
      </c>
      <c r="B499" s="2" t="s">
        <v>56</v>
      </c>
      <c r="C499" s="2" t="s">
        <v>57</v>
      </c>
      <c r="D499" s="2" t="s">
        <v>63</v>
      </c>
      <c r="E499" s="2" t="s">
        <v>22</v>
      </c>
      <c r="F499" s="2">
        <v>1277955380444250</v>
      </c>
      <c r="G499" s="2">
        <v>1.2024270854698E+17</v>
      </c>
      <c r="H499" s="2">
        <v>1.2024270854697E+17</v>
      </c>
      <c r="I499" s="2">
        <v>1.2024294325528E+17</v>
      </c>
      <c r="J499" s="2" t="s">
        <v>23</v>
      </c>
      <c r="K499" s="4">
        <v>2823</v>
      </c>
      <c r="L499">
        <v>337</v>
      </c>
      <c r="M499">
        <v>416.74</v>
      </c>
      <c r="N499">
        <f t="shared" si="21"/>
        <v>2541</v>
      </c>
      <c r="O499">
        <f t="shared" si="22"/>
        <v>1143</v>
      </c>
      <c r="P499" s="5">
        <f t="shared" si="23"/>
        <v>1863</v>
      </c>
    </row>
    <row r="500" spans="1:20" ht="15.75" thickBot="1" x14ac:dyDescent="0.3">
      <c r="A500" s="3">
        <v>46118</v>
      </c>
      <c r="B500" s="2" t="s">
        <v>56</v>
      </c>
      <c r="C500" s="2" t="s">
        <v>57</v>
      </c>
      <c r="D500" s="2" t="s">
        <v>63</v>
      </c>
      <c r="E500" s="2" t="s">
        <v>22</v>
      </c>
      <c r="F500" s="2">
        <v>1277955380444250</v>
      </c>
      <c r="G500" s="2">
        <v>1.2024270854698E+17</v>
      </c>
      <c r="H500" s="2">
        <v>1.2024270854697E+17</v>
      </c>
      <c r="I500" s="2">
        <v>1.2024294325528E+17</v>
      </c>
      <c r="J500" s="2" t="s">
        <v>24</v>
      </c>
      <c r="K500" s="4">
        <v>8288</v>
      </c>
      <c r="L500">
        <v>705</v>
      </c>
      <c r="M500">
        <v>409.13</v>
      </c>
      <c r="N500">
        <f t="shared" si="21"/>
        <v>7459</v>
      </c>
      <c r="O500">
        <f t="shared" si="22"/>
        <v>3357</v>
      </c>
      <c r="P500" s="5">
        <f t="shared" si="23"/>
        <v>5470</v>
      </c>
    </row>
    <row r="501" spans="1:20" ht="15.75" thickBot="1" x14ac:dyDescent="0.3">
      <c r="A501" s="3">
        <v>46118</v>
      </c>
      <c r="B501" s="2" t="s">
        <v>56</v>
      </c>
      <c r="C501" s="2" t="s">
        <v>57</v>
      </c>
      <c r="D501" s="2" t="s">
        <v>63</v>
      </c>
      <c r="E501" s="2" t="s">
        <v>22</v>
      </c>
      <c r="F501" s="2">
        <v>1277955380444250</v>
      </c>
      <c r="G501" s="2">
        <v>1.2024270854698E+17</v>
      </c>
      <c r="H501" s="2">
        <v>1.2024270854697E+17</v>
      </c>
      <c r="I501" s="2">
        <v>1.2024294325528E+17</v>
      </c>
      <c r="J501" s="2" t="s">
        <v>46</v>
      </c>
      <c r="K501" s="4">
        <v>1337</v>
      </c>
      <c r="L501">
        <v>611</v>
      </c>
      <c r="M501">
        <v>130.85</v>
      </c>
      <c r="N501">
        <f t="shared" si="21"/>
        <v>1203</v>
      </c>
      <c r="O501">
        <f t="shared" si="22"/>
        <v>541</v>
      </c>
      <c r="P501" s="5">
        <f t="shared" si="23"/>
        <v>882</v>
      </c>
    </row>
    <row r="502" spans="1:20" ht="15.75" thickBot="1" x14ac:dyDescent="0.3">
      <c r="A502" s="3">
        <v>46119</v>
      </c>
      <c r="B502" s="2" t="s">
        <v>47</v>
      </c>
      <c r="C502" s="2" t="s">
        <v>48</v>
      </c>
      <c r="D502" s="2" t="s">
        <v>59</v>
      </c>
      <c r="E502" s="2" t="s">
        <v>22</v>
      </c>
      <c r="F502" s="2">
        <v>1277955380444250</v>
      </c>
      <c r="G502" s="2">
        <v>1.2024261720294E+17</v>
      </c>
      <c r="H502" s="2">
        <v>1.2024261720296E+17</v>
      </c>
      <c r="I502" s="2">
        <v>1.2024292230769E+17</v>
      </c>
      <c r="J502" s="2" t="s">
        <v>24</v>
      </c>
      <c r="K502" s="4">
        <v>1108</v>
      </c>
      <c r="L502">
        <v>382</v>
      </c>
      <c r="M502">
        <v>1425.88</v>
      </c>
      <c r="N502">
        <f t="shared" si="21"/>
        <v>997</v>
      </c>
      <c r="O502">
        <f t="shared" si="22"/>
        <v>449</v>
      </c>
      <c r="P502" s="5">
        <f t="shared" si="23"/>
        <v>731</v>
      </c>
      <c r="R502">
        <v>10</v>
      </c>
      <c r="S502">
        <v>18</v>
      </c>
      <c r="T502">
        <v>7</v>
      </c>
    </row>
    <row r="503" spans="1:20" ht="15.75" thickBot="1" x14ac:dyDescent="0.3">
      <c r="A503" s="3">
        <v>46119</v>
      </c>
      <c r="B503" s="2" t="s">
        <v>47</v>
      </c>
      <c r="C503" s="2" t="s">
        <v>48</v>
      </c>
      <c r="D503" s="2" t="s">
        <v>49</v>
      </c>
      <c r="E503" s="2" t="s">
        <v>22</v>
      </c>
      <c r="F503" s="2">
        <v>1277955380444250</v>
      </c>
      <c r="G503" s="2">
        <v>1.2024261720294E+17</v>
      </c>
      <c r="H503" s="2">
        <v>1.2024261720296E+17</v>
      </c>
      <c r="I503" s="2">
        <v>1.2024261720295E+17</v>
      </c>
      <c r="J503" s="2" t="s">
        <v>23</v>
      </c>
      <c r="K503" s="4">
        <v>4601</v>
      </c>
      <c r="L503">
        <v>606</v>
      </c>
      <c r="M503">
        <v>1431.98</v>
      </c>
      <c r="N503">
        <f t="shared" si="21"/>
        <v>4141</v>
      </c>
      <c r="O503">
        <f t="shared" si="22"/>
        <v>1863</v>
      </c>
      <c r="P503" s="5">
        <f t="shared" si="23"/>
        <v>3037</v>
      </c>
      <c r="R503">
        <v>2</v>
      </c>
      <c r="S503">
        <v>9</v>
      </c>
      <c r="T503">
        <v>3</v>
      </c>
    </row>
    <row r="504" spans="1:20" ht="15.75" thickBot="1" x14ac:dyDescent="0.3">
      <c r="A504" s="3">
        <v>46119</v>
      </c>
      <c r="B504" s="2" t="s">
        <v>47</v>
      </c>
      <c r="C504" s="2" t="s">
        <v>48</v>
      </c>
      <c r="D504" s="2" t="s">
        <v>49</v>
      </c>
      <c r="E504" s="2" t="s">
        <v>22</v>
      </c>
      <c r="F504" s="2">
        <v>1277955380444250</v>
      </c>
      <c r="G504" s="2">
        <v>1.2024261720294E+17</v>
      </c>
      <c r="H504" s="2">
        <v>1.2024261720296E+17</v>
      </c>
      <c r="I504" s="2">
        <v>1.2024261720295E+17</v>
      </c>
      <c r="J504" s="2" t="s">
        <v>24</v>
      </c>
      <c r="K504" s="4">
        <v>8654</v>
      </c>
      <c r="L504">
        <v>513</v>
      </c>
      <c r="M504">
        <v>1045.27</v>
      </c>
      <c r="N504">
        <f t="shared" si="21"/>
        <v>7789</v>
      </c>
      <c r="O504">
        <f t="shared" si="22"/>
        <v>3505</v>
      </c>
      <c r="P504" s="5">
        <f t="shared" si="23"/>
        <v>5712</v>
      </c>
      <c r="R504">
        <v>6015</v>
      </c>
      <c r="S504">
        <v>9025</v>
      </c>
      <c r="T504">
        <v>1357</v>
      </c>
    </row>
    <row r="505" spans="1:20" ht="15.75" thickBot="1" x14ac:dyDescent="0.3">
      <c r="A505" s="3">
        <v>46119</v>
      </c>
      <c r="B505" s="2" t="s">
        <v>47</v>
      </c>
      <c r="C505" s="2" t="s">
        <v>48</v>
      </c>
      <c r="D505" s="2" t="s">
        <v>60</v>
      </c>
      <c r="E505" s="2" t="s">
        <v>22</v>
      </c>
      <c r="F505" s="2">
        <v>1277955380444250</v>
      </c>
      <c r="G505" s="2">
        <v>1.2024261720294E+17</v>
      </c>
      <c r="H505" s="2">
        <v>1.2024261720296E+17</v>
      </c>
      <c r="I505" s="2">
        <v>1.2024292195261E+17</v>
      </c>
      <c r="J505" s="2" t="s">
        <v>23</v>
      </c>
      <c r="K505" s="4">
        <v>6131</v>
      </c>
      <c r="L505">
        <v>65</v>
      </c>
      <c r="M505">
        <v>870.28</v>
      </c>
      <c r="N505">
        <f t="shared" si="21"/>
        <v>5518</v>
      </c>
      <c r="O505">
        <f t="shared" si="22"/>
        <v>2483</v>
      </c>
      <c r="P505" s="5">
        <f t="shared" si="23"/>
        <v>4046</v>
      </c>
      <c r="R505">
        <v>49004</v>
      </c>
      <c r="S505">
        <v>120581</v>
      </c>
      <c r="T505">
        <v>20031</v>
      </c>
    </row>
    <row r="506" spans="1:20" ht="15.75" thickBot="1" x14ac:dyDescent="0.3">
      <c r="A506" s="3">
        <v>46119</v>
      </c>
      <c r="B506" s="2" t="s">
        <v>47</v>
      </c>
      <c r="C506" s="2" t="s">
        <v>48</v>
      </c>
      <c r="D506" s="2" t="s">
        <v>60</v>
      </c>
      <c r="E506" s="2" t="s">
        <v>22</v>
      </c>
      <c r="F506" s="2">
        <v>1277955380444250</v>
      </c>
      <c r="G506" s="2">
        <v>1.2024261720294E+17</v>
      </c>
      <c r="H506" s="2">
        <v>1.2024261720296E+17</v>
      </c>
      <c r="I506" s="2">
        <v>1.2024292195261E+17</v>
      </c>
      <c r="J506" s="2" t="s">
        <v>24</v>
      </c>
      <c r="K506" s="4">
        <v>8562</v>
      </c>
      <c r="L506">
        <v>125</v>
      </c>
      <c r="M506">
        <v>315.16000000000003</v>
      </c>
      <c r="N506">
        <f t="shared" si="21"/>
        <v>7706</v>
      </c>
      <c r="O506">
        <f t="shared" si="22"/>
        <v>3468</v>
      </c>
      <c r="P506" s="5">
        <f t="shared" si="23"/>
        <v>5651</v>
      </c>
      <c r="R506">
        <v>1437147</v>
      </c>
      <c r="S506">
        <v>4146880</v>
      </c>
      <c r="T506">
        <v>927807</v>
      </c>
    </row>
    <row r="507" spans="1:20" ht="15.75" thickBot="1" x14ac:dyDescent="0.3">
      <c r="A507" s="3">
        <v>46119</v>
      </c>
      <c r="B507" s="2" t="s">
        <v>19</v>
      </c>
      <c r="C507" s="2" t="s">
        <v>20</v>
      </c>
      <c r="D507" s="2" t="s">
        <v>21</v>
      </c>
      <c r="E507" s="2" t="s">
        <v>22</v>
      </c>
      <c r="F507" s="2">
        <v>1277955380444250</v>
      </c>
      <c r="G507" s="2">
        <v>1.2024229057228E+17</v>
      </c>
      <c r="H507" s="2">
        <v>1.2024229057229E+17</v>
      </c>
      <c r="I507" s="2">
        <v>1.2024229057227E+17</v>
      </c>
      <c r="J507" s="2" t="s">
        <v>23</v>
      </c>
      <c r="K507" s="4">
        <v>2720</v>
      </c>
      <c r="L507">
        <v>206</v>
      </c>
      <c r="M507">
        <v>1783.85</v>
      </c>
      <c r="N507">
        <f t="shared" si="21"/>
        <v>2448</v>
      </c>
      <c r="O507">
        <f t="shared" si="22"/>
        <v>1102</v>
      </c>
      <c r="P507" s="5">
        <f t="shared" si="23"/>
        <v>1795</v>
      </c>
      <c r="S507">
        <v>601</v>
      </c>
      <c r="T507">
        <v>4</v>
      </c>
    </row>
    <row r="508" spans="1:20" ht="15.75" thickBot="1" x14ac:dyDescent="0.3">
      <c r="A508" s="3">
        <v>46119</v>
      </c>
      <c r="B508" s="2" t="s">
        <v>19</v>
      </c>
      <c r="C508" s="2" t="s">
        <v>20</v>
      </c>
      <c r="D508" s="2" t="s">
        <v>21</v>
      </c>
      <c r="E508" s="2" t="s">
        <v>22</v>
      </c>
      <c r="F508" s="2">
        <v>1277955380444250</v>
      </c>
      <c r="G508" s="2">
        <v>1.2024229057228E+17</v>
      </c>
      <c r="H508" s="2">
        <v>1.2024229057229E+17</v>
      </c>
      <c r="I508" s="2">
        <v>1.2024229057227E+17</v>
      </c>
      <c r="J508" s="2" t="s">
        <v>24</v>
      </c>
      <c r="K508" s="4">
        <v>1544</v>
      </c>
      <c r="L508">
        <v>920</v>
      </c>
      <c r="M508">
        <v>323.47000000000003</v>
      </c>
      <c r="N508">
        <f t="shared" si="21"/>
        <v>1390</v>
      </c>
      <c r="O508">
        <f t="shared" si="22"/>
        <v>626</v>
      </c>
      <c r="P508" s="5">
        <f t="shared" si="23"/>
        <v>1019</v>
      </c>
      <c r="S508">
        <v>56060</v>
      </c>
      <c r="T508">
        <v>171</v>
      </c>
    </row>
    <row r="509" spans="1:20" ht="15.75" thickBot="1" x14ac:dyDescent="0.3">
      <c r="A509" s="3">
        <v>46119</v>
      </c>
      <c r="B509" s="2" t="s">
        <v>19</v>
      </c>
      <c r="C509" s="2" t="s">
        <v>20</v>
      </c>
      <c r="D509" s="2" t="s">
        <v>34</v>
      </c>
      <c r="E509" s="2" t="s">
        <v>22</v>
      </c>
      <c r="F509" s="2">
        <v>1277955380444250</v>
      </c>
      <c r="G509" s="2">
        <v>1.2024229057228E+17</v>
      </c>
      <c r="H509" s="2">
        <v>1.2024229057229E+17</v>
      </c>
      <c r="I509" s="2">
        <v>1.2024229334046E+17</v>
      </c>
      <c r="J509" s="2" t="s">
        <v>23</v>
      </c>
      <c r="K509" s="4">
        <v>3471</v>
      </c>
      <c r="L509">
        <v>465</v>
      </c>
      <c r="M509">
        <v>447.63</v>
      </c>
      <c r="N509">
        <f t="shared" si="21"/>
        <v>3124</v>
      </c>
      <c r="O509">
        <f t="shared" si="22"/>
        <v>1406</v>
      </c>
      <c r="P509" s="5">
        <f t="shared" si="23"/>
        <v>2291</v>
      </c>
      <c r="S509">
        <v>515</v>
      </c>
      <c r="T509">
        <v>1</v>
      </c>
    </row>
    <row r="510" spans="1:20" ht="15.75" thickBot="1" x14ac:dyDescent="0.3">
      <c r="A510" s="3">
        <v>46119</v>
      </c>
      <c r="B510" s="2" t="s">
        <v>19</v>
      </c>
      <c r="C510" s="2" t="s">
        <v>20</v>
      </c>
      <c r="D510" s="2" t="s">
        <v>34</v>
      </c>
      <c r="E510" s="2" t="s">
        <v>22</v>
      </c>
      <c r="F510" s="2">
        <v>1277955380444250</v>
      </c>
      <c r="G510" s="2">
        <v>1.2024229057228E+17</v>
      </c>
      <c r="H510" s="2">
        <v>1.2024229057229E+17</v>
      </c>
      <c r="I510" s="2">
        <v>1.2024229334046E+17</v>
      </c>
      <c r="J510" s="2" t="s">
        <v>24</v>
      </c>
      <c r="K510" s="4">
        <v>5787</v>
      </c>
      <c r="L510">
        <v>508</v>
      </c>
      <c r="M510">
        <v>1583.41</v>
      </c>
      <c r="N510">
        <f t="shared" si="21"/>
        <v>5208</v>
      </c>
      <c r="O510">
        <f t="shared" si="22"/>
        <v>2344</v>
      </c>
      <c r="P510" s="5">
        <f t="shared" si="23"/>
        <v>3819</v>
      </c>
      <c r="S510">
        <v>163377</v>
      </c>
      <c r="T510">
        <v>633</v>
      </c>
    </row>
    <row r="511" spans="1:20" ht="15.75" thickBot="1" x14ac:dyDescent="0.3">
      <c r="A511" s="3">
        <v>46119</v>
      </c>
      <c r="B511" s="2" t="s">
        <v>19</v>
      </c>
      <c r="C511" s="2" t="s">
        <v>50</v>
      </c>
      <c r="D511" s="2" t="s">
        <v>51</v>
      </c>
      <c r="E511" s="2" t="s">
        <v>22</v>
      </c>
      <c r="F511" s="2">
        <v>1277955380444250</v>
      </c>
      <c r="G511" s="2">
        <v>1.2024229057228E+17</v>
      </c>
      <c r="H511" s="2">
        <v>1.2024270613878E+17</v>
      </c>
      <c r="I511" s="2">
        <v>1.202427061388E+17</v>
      </c>
      <c r="J511" s="2" t="s">
        <v>23</v>
      </c>
      <c r="K511" s="4">
        <v>2296</v>
      </c>
      <c r="L511">
        <v>611</v>
      </c>
      <c r="M511">
        <v>862.21</v>
      </c>
      <c r="N511">
        <f t="shared" si="21"/>
        <v>2066</v>
      </c>
      <c r="O511">
        <f t="shared" si="22"/>
        <v>930</v>
      </c>
      <c r="P511" s="5">
        <f t="shared" si="23"/>
        <v>1515</v>
      </c>
      <c r="S511">
        <v>21403</v>
      </c>
      <c r="T511">
        <v>485</v>
      </c>
    </row>
    <row r="512" spans="1:20" ht="15.75" thickBot="1" x14ac:dyDescent="0.3">
      <c r="A512" s="3">
        <v>46119</v>
      </c>
      <c r="B512" s="2" t="s">
        <v>19</v>
      </c>
      <c r="C512" s="2" t="s">
        <v>50</v>
      </c>
      <c r="D512" s="2" t="s">
        <v>51</v>
      </c>
      <c r="E512" s="2" t="s">
        <v>22</v>
      </c>
      <c r="F512" s="2">
        <v>1277955380444250</v>
      </c>
      <c r="G512" s="2">
        <v>1.2024229057228E+17</v>
      </c>
      <c r="H512" s="2">
        <v>1.2024270613878E+17</v>
      </c>
      <c r="I512" s="2">
        <v>1.202427061388E+17</v>
      </c>
      <c r="J512" s="2" t="s">
        <v>24</v>
      </c>
      <c r="K512" s="4">
        <v>7490</v>
      </c>
      <c r="L512">
        <v>911</v>
      </c>
      <c r="M512">
        <v>1453.95</v>
      </c>
      <c r="N512">
        <f t="shared" si="21"/>
        <v>6741</v>
      </c>
      <c r="O512">
        <f t="shared" si="22"/>
        <v>3033</v>
      </c>
      <c r="P512" s="5">
        <f t="shared" si="23"/>
        <v>4943</v>
      </c>
      <c r="S512">
        <v>944071</v>
      </c>
      <c r="T512">
        <v>5040</v>
      </c>
    </row>
    <row r="513" spans="1:20" ht="15.75" thickBot="1" x14ac:dyDescent="0.3">
      <c r="A513" s="3">
        <v>46119</v>
      </c>
      <c r="B513" s="2" t="s">
        <v>19</v>
      </c>
      <c r="C513" s="2" t="s">
        <v>50</v>
      </c>
      <c r="D513" s="2" t="s">
        <v>51</v>
      </c>
      <c r="E513" s="2" t="s">
        <v>22</v>
      </c>
      <c r="F513" s="2">
        <v>1277955380444250</v>
      </c>
      <c r="G513" s="2">
        <v>1.2024229057228E+17</v>
      </c>
      <c r="H513" s="2">
        <v>1.2024270613878E+17</v>
      </c>
      <c r="I513" s="2">
        <v>1.202427061388E+17</v>
      </c>
      <c r="J513" s="2" t="s">
        <v>36</v>
      </c>
      <c r="K513" s="4">
        <v>2450</v>
      </c>
      <c r="L513">
        <v>592</v>
      </c>
      <c r="M513">
        <v>1329.47</v>
      </c>
      <c r="N513">
        <f t="shared" si="21"/>
        <v>2205</v>
      </c>
      <c r="O513">
        <f t="shared" si="22"/>
        <v>992</v>
      </c>
      <c r="P513" s="5">
        <f t="shared" si="23"/>
        <v>1617</v>
      </c>
      <c r="S513">
        <v>1</v>
      </c>
    </row>
    <row r="514" spans="1:20" ht="15.75" thickBot="1" x14ac:dyDescent="0.3">
      <c r="A514" s="3">
        <v>46119</v>
      </c>
      <c r="B514" s="2" t="s">
        <v>19</v>
      </c>
      <c r="C514" s="2" t="s">
        <v>50</v>
      </c>
      <c r="D514" s="2" t="s">
        <v>53</v>
      </c>
      <c r="E514" s="2" t="s">
        <v>22</v>
      </c>
      <c r="F514" s="2">
        <v>1277955380444250</v>
      </c>
      <c r="G514" s="2">
        <v>1.2024229057228E+17</v>
      </c>
      <c r="H514" s="2">
        <v>1.2024270613878E+17</v>
      </c>
      <c r="I514" s="2">
        <v>1.2024270613881E+17</v>
      </c>
      <c r="J514" s="2" t="s">
        <v>23</v>
      </c>
      <c r="K514" s="4">
        <v>6454</v>
      </c>
      <c r="L514">
        <v>534</v>
      </c>
      <c r="M514">
        <v>1507.39</v>
      </c>
      <c r="N514">
        <f t="shared" si="21"/>
        <v>5809</v>
      </c>
      <c r="O514">
        <f t="shared" si="22"/>
        <v>2614</v>
      </c>
      <c r="P514" s="5">
        <f t="shared" si="23"/>
        <v>4260</v>
      </c>
      <c r="S514">
        <v>59</v>
      </c>
      <c r="T514">
        <v>1</v>
      </c>
    </row>
    <row r="515" spans="1:20" ht="15.75" thickBot="1" x14ac:dyDescent="0.3">
      <c r="A515" s="3">
        <v>46119</v>
      </c>
      <c r="B515" s="2" t="s">
        <v>19</v>
      </c>
      <c r="C515" s="2" t="s">
        <v>50</v>
      </c>
      <c r="D515" s="2" t="s">
        <v>53</v>
      </c>
      <c r="E515" s="2" t="s">
        <v>22</v>
      </c>
      <c r="F515" s="2">
        <v>1277955380444250</v>
      </c>
      <c r="G515" s="2">
        <v>1.2024229057228E+17</v>
      </c>
      <c r="H515" s="2">
        <v>1.2024270613878E+17</v>
      </c>
      <c r="I515" s="2">
        <v>1.2024270613881E+17</v>
      </c>
      <c r="J515" s="2" t="s">
        <v>24</v>
      </c>
      <c r="K515" s="4">
        <v>7113</v>
      </c>
      <c r="L515">
        <v>340</v>
      </c>
      <c r="M515">
        <v>281.56</v>
      </c>
      <c r="N515">
        <f t="shared" ref="N515:N568" si="24">ROUND(K515*0.9,0)</f>
        <v>6402</v>
      </c>
      <c r="O515">
        <f t="shared" ref="O515:O568" si="25">ROUND(N515*0.45,0)</f>
        <v>2881</v>
      </c>
      <c r="P515" s="5">
        <f t="shared" ref="P515:P568" si="26">ROUND(K515*0.66,0)</f>
        <v>4695</v>
      </c>
      <c r="S515">
        <v>12607</v>
      </c>
      <c r="T515">
        <v>60</v>
      </c>
    </row>
    <row r="516" spans="1:20" ht="15.75" thickBot="1" x14ac:dyDescent="0.3">
      <c r="A516" s="3">
        <v>46119</v>
      </c>
      <c r="B516" s="2" t="s">
        <v>19</v>
      </c>
      <c r="C516" s="2" t="s">
        <v>50</v>
      </c>
      <c r="D516" s="2" t="s">
        <v>53</v>
      </c>
      <c r="E516" s="2" t="s">
        <v>22</v>
      </c>
      <c r="F516" s="2">
        <v>1277955380444250</v>
      </c>
      <c r="G516" s="2">
        <v>1.2024229057228E+17</v>
      </c>
      <c r="H516" s="2">
        <v>1.2024270613878E+17</v>
      </c>
      <c r="I516" s="2">
        <v>1.2024270613881E+17</v>
      </c>
      <c r="J516" s="2" t="s">
        <v>36</v>
      </c>
      <c r="K516" s="4">
        <v>7510</v>
      </c>
      <c r="L516">
        <v>366</v>
      </c>
      <c r="M516">
        <v>1554.68</v>
      </c>
      <c r="N516">
        <f t="shared" si="24"/>
        <v>6759</v>
      </c>
      <c r="O516">
        <f t="shared" si="25"/>
        <v>3042</v>
      </c>
      <c r="P516" s="5">
        <f t="shared" si="26"/>
        <v>4957</v>
      </c>
      <c r="S516">
        <v>54</v>
      </c>
      <c r="T516">
        <v>3</v>
      </c>
    </row>
    <row r="517" spans="1:20" ht="15.75" thickBot="1" x14ac:dyDescent="0.3">
      <c r="A517" s="3">
        <v>46119</v>
      </c>
      <c r="B517" s="2" t="s">
        <v>19</v>
      </c>
      <c r="C517" s="2" t="s">
        <v>50</v>
      </c>
      <c r="D517" s="2" t="s">
        <v>54</v>
      </c>
      <c r="E517" s="2" t="s">
        <v>22</v>
      </c>
      <c r="F517" s="2">
        <v>1277955380444250</v>
      </c>
      <c r="G517" s="2">
        <v>1.2024229057228E+17</v>
      </c>
      <c r="H517" s="2">
        <v>1.2024270613878E+17</v>
      </c>
      <c r="I517" s="2">
        <v>1.2024270623134E+17</v>
      </c>
      <c r="J517" s="2" t="s">
        <v>23</v>
      </c>
      <c r="K517" s="4">
        <v>5252</v>
      </c>
      <c r="L517">
        <v>397</v>
      </c>
      <c r="M517">
        <v>593.84</v>
      </c>
      <c r="N517">
        <f t="shared" si="24"/>
        <v>4727</v>
      </c>
      <c r="O517">
        <f t="shared" si="25"/>
        <v>2127</v>
      </c>
      <c r="P517" s="5">
        <f t="shared" si="26"/>
        <v>3466</v>
      </c>
      <c r="S517">
        <v>677</v>
      </c>
      <c r="T517">
        <v>4</v>
      </c>
    </row>
    <row r="518" spans="1:20" ht="15.75" thickBot="1" x14ac:dyDescent="0.3">
      <c r="A518" s="3">
        <v>46119</v>
      </c>
      <c r="B518" s="2" t="s">
        <v>19</v>
      </c>
      <c r="C518" s="2" t="s">
        <v>50</v>
      </c>
      <c r="D518" s="2" t="s">
        <v>54</v>
      </c>
      <c r="E518" s="2" t="s">
        <v>22</v>
      </c>
      <c r="F518" s="2">
        <v>1277955380444250</v>
      </c>
      <c r="G518" s="2">
        <v>1.2024229057228E+17</v>
      </c>
      <c r="H518" s="2">
        <v>1.2024270613878E+17</v>
      </c>
      <c r="I518" s="2">
        <v>1.2024270623134E+17</v>
      </c>
      <c r="J518" s="2" t="s">
        <v>24</v>
      </c>
      <c r="K518" s="4">
        <v>9359</v>
      </c>
      <c r="L518">
        <v>532</v>
      </c>
      <c r="M518">
        <v>1101.82</v>
      </c>
      <c r="N518">
        <f t="shared" si="24"/>
        <v>8423</v>
      </c>
      <c r="O518">
        <f t="shared" si="25"/>
        <v>3790</v>
      </c>
      <c r="P518" s="5">
        <f t="shared" si="26"/>
        <v>6177</v>
      </c>
      <c r="S518">
        <v>186316</v>
      </c>
      <c r="T518">
        <v>769</v>
      </c>
    </row>
    <row r="519" spans="1:20" ht="15.75" thickBot="1" x14ac:dyDescent="0.3">
      <c r="A519" s="3">
        <v>46119</v>
      </c>
      <c r="B519" s="2" t="s">
        <v>19</v>
      </c>
      <c r="C519" s="2" t="s">
        <v>50</v>
      </c>
      <c r="D519" s="2" t="s">
        <v>54</v>
      </c>
      <c r="E519" s="2" t="s">
        <v>22</v>
      </c>
      <c r="F519" s="2">
        <v>1277955380444250</v>
      </c>
      <c r="G519" s="2">
        <v>1.2024229057228E+17</v>
      </c>
      <c r="H519" s="2">
        <v>1.2024270613878E+17</v>
      </c>
      <c r="I519" s="2">
        <v>1.2024270623134E+17</v>
      </c>
      <c r="J519" s="2" t="s">
        <v>36</v>
      </c>
      <c r="K519" s="4">
        <v>4630</v>
      </c>
      <c r="L519">
        <v>605</v>
      </c>
      <c r="M519">
        <v>1010.63</v>
      </c>
      <c r="N519">
        <f t="shared" si="24"/>
        <v>4167</v>
      </c>
      <c r="O519">
        <f t="shared" si="25"/>
        <v>1875</v>
      </c>
      <c r="P519" s="5">
        <f t="shared" si="26"/>
        <v>3056</v>
      </c>
      <c r="S519">
        <v>60</v>
      </c>
      <c r="T519">
        <v>4</v>
      </c>
    </row>
    <row r="520" spans="1:20" ht="15.75" thickBot="1" x14ac:dyDescent="0.3">
      <c r="A520" s="3">
        <v>46119</v>
      </c>
      <c r="B520" s="2" t="s">
        <v>25</v>
      </c>
      <c r="C520" s="2" t="s">
        <v>40</v>
      </c>
      <c r="D520" s="2" t="s">
        <v>68</v>
      </c>
      <c r="E520" s="2" t="s">
        <v>22</v>
      </c>
      <c r="F520" s="2">
        <v>1277955380444250</v>
      </c>
      <c r="G520" s="2">
        <v>1.2024231584645E+17</v>
      </c>
      <c r="H520" s="2">
        <v>1.2024246508913E+17</v>
      </c>
      <c r="I520" s="2">
        <v>1.2024321084261E+17</v>
      </c>
      <c r="J520" s="2" t="s">
        <v>23</v>
      </c>
      <c r="K520" s="4">
        <v>7409</v>
      </c>
      <c r="L520">
        <v>439</v>
      </c>
      <c r="M520">
        <v>1248.8900000000001</v>
      </c>
      <c r="N520">
        <f t="shared" si="24"/>
        <v>6668</v>
      </c>
      <c r="O520">
        <f t="shared" si="25"/>
        <v>3001</v>
      </c>
      <c r="P520" s="5">
        <f t="shared" si="26"/>
        <v>4890</v>
      </c>
    </row>
    <row r="521" spans="1:20" ht="15.75" thickBot="1" x14ac:dyDescent="0.3">
      <c r="A521" s="3">
        <v>46119</v>
      </c>
      <c r="B521" s="2" t="s">
        <v>25</v>
      </c>
      <c r="C521" s="2" t="s">
        <v>40</v>
      </c>
      <c r="D521" s="2" t="s">
        <v>68</v>
      </c>
      <c r="E521" s="2" t="s">
        <v>22</v>
      </c>
      <c r="F521" s="2">
        <v>1277955380444250</v>
      </c>
      <c r="G521" s="2">
        <v>1.2024231584645E+17</v>
      </c>
      <c r="H521" s="2">
        <v>1.2024246508913E+17</v>
      </c>
      <c r="I521" s="2">
        <v>1.2024321084261E+17</v>
      </c>
      <c r="J521" s="2" t="s">
        <v>24</v>
      </c>
      <c r="K521" s="4">
        <v>6646</v>
      </c>
      <c r="L521">
        <v>570</v>
      </c>
      <c r="M521">
        <v>1928.36</v>
      </c>
      <c r="N521">
        <f t="shared" si="24"/>
        <v>5981</v>
      </c>
      <c r="O521">
        <f t="shared" si="25"/>
        <v>2691</v>
      </c>
      <c r="P521" s="5">
        <f t="shared" si="26"/>
        <v>4386</v>
      </c>
    </row>
    <row r="522" spans="1:20" ht="15.75" thickBot="1" x14ac:dyDescent="0.3">
      <c r="A522" s="3">
        <v>46119</v>
      </c>
      <c r="B522" s="2" t="s">
        <v>25</v>
      </c>
      <c r="C522" s="2" t="s">
        <v>40</v>
      </c>
      <c r="D522" s="2" t="s">
        <v>61</v>
      </c>
      <c r="E522" s="2" t="s">
        <v>22</v>
      </c>
      <c r="F522" s="2">
        <v>1277955380444250</v>
      </c>
      <c r="G522" s="2">
        <v>1.2024231584645E+17</v>
      </c>
      <c r="H522" s="2">
        <v>1.2024246508913E+17</v>
      </c>
      <c r="I522" s="2">
        <v>1.2024294401448E+17</v>
      </c>
      <c r="J522" s="2" t="s">
        <v>23</v>
      </c>
      <c r="K522" s="4">
        <v>3966</v>
      </c>
      <c r="L522">
        <v>463</v>
      </c>
      <c r="M522">
        <v>847.83</v>
      </c>
      <c r="N522">
        <f t="shared" si="24"/>
        <v>3569</v>
      </c>
      <c r="O522">
        <f t="shared" si="25"/>
        <v>1606</v>
      </c>
      <c r="P522" s="5">
        <f t="shared" si="26"/>
        <v>2618</v>
      </c>
    </row>
    <row r="523" spans="1:20" ht="15.75" thickBot="1" x14ac:dyDescent="0.3">
      <c r="A523" s="3">
        <v>46119</v>
      </c>
      <c r="B523" s="2" t="s">
        <v>25</v>
      </c>
      <c r="C523" s="2" t="s">
        <v>40</v>
      </c>
      <c r="D523" s="2" t="s">
        <v>61</v>
      </c>
      <c r="E523" s="2" t="s">
        <v>22</v>
      </c>
      <c r="F523" s="2">
        <v>1277955380444250</v>
      </c>
      <c r="G523" s="2">
        <v>1.2024231584645E+17</v>
      </c>
      <c r="H523" s="2">
        <v>1.2024246508913E+17</v>
      </c>
      <c r="I523" s="2">
        <v>1.2024294401448E+17</v>
      </c>
      <c r="J523" s="2" t="s">
        <v>24</v>
      </c>
      <c r="K523" s="4">
        <v>1060</v>
      </c>
      <c r="L523">
        <v>937</v>
      </c>
      <c r="M523">
        <v>252.5</v>
      </c>
      <c r="N523">
        <f t="shared" si="24"/>
        <v>954</v>
      </c>
      <c r="O523">
        <f t="shared" si="25"/>
        <v>429</v>
      </c>
      <c r="P523" s="5">
        <f t="shared" si="26"/>
        <v>700</v>
      </c>
    </row>
    <row r="524" spans="1:20" ht="15.75" thickBot="1" x14ac:dyDescent="0.3">
      <c r="A524" s="3">
        <v>46119</v>
      </c>
      <c r="B524" s="2" t="s">
        <v>25</v>
      </c>
      <c r="C524" s="2" t="s">
        <v>40</v>
      </c>
      <c r="D524" s="2" t="s">
        <v>61</v>
      </c>
      <c r="E524" s="2" t="s">
        <v>22</v>
      </c>
      <c r="F524" s="2">
        <v>1277955380444250</v>
      </c>
      <c r="G524" s="2">
        <v>1.2024231584645E+17</v>
      </c>
      <c r="H524" s="2">
        <v>1.2024246508913E+17</v>
      </c>
      <c r="I524" s="2">
        <v>1.2024294401448E+17</v>
      </c>
      <c r="J524" s="2" t="s">
        <v>46</v>
      </c>
      <c r="K524" s="4">
        <v>8936</v>
      </c>
      <c r="L524">
        <v>188</v>
      </c>
      <c r="M524">
        <v>822.43</v>
      </c>
      <c r="N524">
        <f t="shared" si="24"/>
        <v>8042</v>
      </c>
      <c r="O524">
        <f t="shared" si="25"/>
        <v>3619</v>
      </c>
      <c r="P524" s="5">
        <f t="shared" si="26"/>
        <v>5898</v>
      </c>
    </row>
    <row r="525" spans="1:20" ht="15.75" thickBot="1" x14ac:dyDescent="0.3">
      <c r="A525" s="3">
        <v>46119</v>
      </c>
      <c r="B525" s="2" t="s">
        <v>25</v>
      </c>
      <c r="C525" s="2" t="s">
        <v>28</v>
      </c>
      <c r="D525" s="2" t="s">
        <v>65</v>
      </c>
      <c r="E525" s="2" t="s">
        <v>22</v>
      </c>
      <c r="F525" s="2">
        <v>1277955380444250</v>
      </c>
      <c r="G525" s="2">
        <v>1.2024231584645E+17</v>
      </c>
      <c r="H525" s="2">
        <v>1.2024231613167E+17</v>
      </c>
      <c r="I525" s="2">
        <v>1.2024294474555E+17</v>
      </c>
      <c r="J525" s="2" t="s">
        <v>23</v>
      </c>
      <c r="K525" s="4">
        <v>2724</v>
      </c>
      <c r="L525">
        <v>757</v>
      </c>
      <c r="M525">
        <v>1420.32</v>
      </c>
      <c r="N525">
        <f t="shared" si="24"/>
        <v>2452</v>
      </c>
      <c r="O525">
        <f t="shared" si="25"/>
        <v>1103</v>
      </c>
      <c r="P525" s="5">
        <f t="shared" si="26"/>
        <v>1798</v>
      </c>
    </row>
    <row r="526" spans="1:20" ht="15.75" thickBot="1" x14ac:dyDescent="0.3">
      <c r="A526" s="3">
        <v>46119</v>
      </c>
      <c r="B526" s="2" t="s">
        <v>25</v>
      </c>
      <c r="C526" s="2" t="s">
        <v>28</v>
      </c>
      <c r="D526" s="2" t="s">
        <v>69</v>
      </c>
      <c r="E526" s="2" t="s">
        <v>22</v>
      </c>
      <c r="F526" s="2">
        <v>1277955380444250</v>
      </c>
      <c r="G526" s="2">
        <v>1.2024231584645E+17</v>
      </c>
      <c r="H526" s="2">
        <v>1.2024231613167E+17</v>
      </c>
      <c r="I526" s="2">
        <v>1.2024321114399E+17</v>
      </c>
      <c r="J526" s="2" t="s">
        <v>23</v>
      </c>
      <c r="K526" s="4">
        <v>5548</v>
      </c>
      <c r="L526">
        <v>226</v>
      </c>
      <c r="M526">
        <v>1869.1</v>
      </c>
      <c r="N526">
        <f t="shared" si="24"/>
        <v>4993</v>
      </c>
      <c r="O526">
        <f t="shared" si="25"/>
        <v>2247</v>
      </c>
      <c r="P526" s="5">
        <f t="shared" si="26"/>
        <v>3662</v>
      </c>
    </row>
    <row r="527" spans="1:20" ht="15.75" thickBot="1" x14ac:dyDescent="0.3">
      <c r="A527" s="3">
        <v>46119</v>
      </c>
      <c r="B527" s="2" t="s">
        <v>25</v>
      </c>
      <c r="C527" s="2" t="s">
        <v>28</v>
      </c>
      <c r="D527" s="2" t="s">
        <v>69</v>
      </c>
      <c r="E527" s="2" t="s">
        <v>22</v>
      </c>
      <c r="F527" s="2">
        <v>1277955380444250</v>
      </c>
      <c r="G527" s="2">
        <v>1.2024231584645E+17</v>
      </c>
      <c r="H527" s="2">
        <v>1.2024231613167E+17</v>
      </c>
      <c r="I527" s="2">
        <v>1.2024321114399E+17</v>
      </c>
      <c r="J527" s="2" t="s">
        <v>24</v>
      </c>
      <c r="K527" s="4">
        <v>2282</v>
      </c>
      <c r="L527">
        <v>281</v>
      </c>
      <c r="M527">
        <v>1407.26</v>
      </c>
      <c r="N527">
        <f t="shared" si="24"/>
        <v>2054</v>
      </c>
      <c r="O527">
        <f t="shared" si="25"/>
        <v>924</v>
      </c>
      <c r="P527" s="5">
        <f t="shared" si="26"/>
        <v>1506</v>
      </c>
    </row>
    <row r="528" spans="1:20" ht="15.75" thickBot="1" x14ac:dyDescent="0.3">
      <c r="A528" s="3">
        <v>46119</v>
      </c>
      <c r="B528" s="2" t="s">
        <v>25</v>
      </c>
      <c r="C528" s="2" t="s">
        <v>30</v>
      </c>
      <c r="D528" s="2" t="s">
        <v>66</v>
      </c>
      <c r="E528" s="2" t="s">
        <v>22</v>
      </c>
      <c r="F528" s="2">
        <v>1277955380444250</v>
      </c>
      <c r="G528" s="2">
        <v>1.2024231584645E+17</v>
      </c>
      <c r="H528" s="2">
        <v>1.2024231592817E+17</v>
      </c>
      <c r="I528" s="2">
        <v>1.2024297479832E+17</v>
      </c>
      <c r="J528" s="2" t="s">
        <v>24</v>
      </c>
      <c r="K528" s="4">
        <v>3603</v>
      </c>
      <c r="L528">
        <v>442</v>
      </c>
      <c r="M528">
        <v>1176.7</v>
      </c>
      <c r="N528">
        <f t="shared" si="24"/>
        <v>3243</v>
      </c>
      <c r="O528">
        <f t="shared" si="25"/>
        <v>1459</v>
      </c>
      <c r="P528" s="5">
        <f t="shared" si="26"/>
        <v>2378</v>
      </c>
    </row>
    <row r="529" spans="1:20" ht="15.75" thickBot="1" x14ac:dyDescent="0.3">
      <c r="A529" s="3">
        <v>46119</v>
      </c>
      <c r="B529" s="2" t="s">
        <v>25</v>
      </c>
      <c r="C529" s="2" t="s">
        <v>30</v>
      </c>
      <c r="D529" s="2" t="s">
        <v>70</v>
      </c>
      <c r="E529" s="2" t="s">
        <v>22</v>
      </c>
      <c r="F529" s="2">
        <v>1277955380444250</v>
      </c>
      <c r="G529" s="2">
        <v>1.2024231584645E+17</v>
      </c>
      <c r="H529" s="2">
        <v>1.2024231592817E+17</v>
      </c>
      <c r="I529" s="2">
        <v>1.2024321332497E+17</v>
      </c>
      <c r="J529" s="2" t="s">
        <v>23</v>
      </c>
      <c r="K529" s="4">
        <v>7675</v>
      </c>
      <c r="L529">
        <v>684</v>
      </c>
      <c r="M529">
        <v>1037.95</v>
      </c>
      <c r="N529">
        <f t="shared" si="24"/>
        <v>6908</v>
      </c>
      <c r="O529">
        <f t="shared" si="25"/>
        <v>3109</v>
      </c>
      <c r="P529" s="5">
        <f t="shared" si="26"/>
        <v>5066</v>
      </c>
    </row>
    <row r="530" spans="1:20" ht="15.75" thickBot="1" x14ac:dyDescent="0.3">
      <c r="A530" s="3">
        <v>46119</v>
      </c>
      <c r="B530" s="2" t="s">
        <v>25</v>
      </c>
      <c r="C530" s="2" t="s">
        <v>30</v>
      </c>
      <c r="D530" s="2" t="s">
        <v>70</v>
      </c>
      <c r="E530" s="2" t="s">
        <v>22</v>
      </c>
      <c r="F530" s="2">
        <v>1277955380444250</v>
      </c>
      <c r="G530" s="2">
        <v>1.2024231584645E+17</v>
      </c>
      <c r="H530" s="2">
        <v>1.2024231592817E+17</v>
      </c>
      <c r="I530" s="2">
        <v>1.2024321332497E+17</v>
      </c>
      <c r="J530" s="2" t="s">
        <v>24</v>
      </c>
      <c r="K530" s="4">
        <v>4078</v>
      </c>
      <c r="L530">
        <v>889</v>
      </c>
      <c r="M530">
        <v>1128.18</v>
      </c>
      <c r="N530">
        <f t="shared" si="24"/>
        <v>3670</v>
      </c>
      <c r="O530">
        <f t="shared" si="25"/>
        <v>1652</v>
      </c>
      <c r="P530" s="5">
        <f t="shared" si="26"/>
        <v>2691</v>
      </c>
    </row>
    <row r="531" spans="1:20" ht="15.75" thickBot="1" x14ac:dyDescent="0.3">
      <c r="A531" s="3">
        <v>46119</v>
      </c>
      <c r="B531" s="2" t="s">
        <v>25</v>
      </c>
      <c r="C531" s="2" t="s">
        <v>32</v>
      </c>
      <c r="D531" s="2" t="s">
        <v>67</v>
      </c>
      <c r="E531" s="2" t="s">
        <v>22</v>
      </c>
      <c r="F531" s="2">
        <v>1277955380444250</v>
      </c>
      <c r="G531" s="2">
        <v>1.2024231584645E+17</v>
      </c>
      <c r="H531" s="2">
        <v>1.2024231584646E+17</v>
      </c>
      <c r="I531" s="2">
        <v>1.2024294450961E+17</v>
      </c>
      <c r="J531" s="2" t="s">
        <v>23</v>
      </c>
      <c r="K531" s="4">
        <v>5866</v>
      </c>
      <c r="L531">
        <v>703</v>
      </c>
      <c r="M531">
        <v>1249.51</v>
      </c>
      <c r="N531">
        <f t="shared" si="24"/>
        <v>5279</v>
      </c>
      <c r="O531">
        <f t="shared" si="25"/>
        <v>2376</v>
      </c>
      <c r="P531" s="5">
        <f t="shared" si="26"/>
        <v>3872</v>
      </c>
    </row>
    <row r="532" spans="1:20" ht="15.75" thickBot="1" x14ac:dyDescent="0.3">
      <c r="A532" s="3">
        <v>46119</v>
      </c>
      <c r="B532" s="2" t="s">
        <v>25</v>
      </c>
      <c r="C532" s="2" t="s">
        <v>32</v>
      </c>
      <c r="D532" s="2" t="s">
        <v>67</v>
      </c>
      <c r="E532" s="2" t="s">
        <v>22</v>
      </c>
      <c r="F532" s="2">
        <v>1277955380444250</v>
      </c>
      <c r="G532" s="2">
        <v>1.2024231584645E+17</v>
      </c>
      <c r="H532" s="2">
        <v>1.2024231584646E+17</v>
      </c>
      <c r="I532" s="2">
        <v>1.2024294450961E+17</v>
      </c>
      <c r="J532" s="2" t="s">
        <v>24</v>
      </c>
      <c r="K532" s="4">
        <v>5234</v>
      </c>
      <c r="L532">
        <v>680</v>
      </c>
      <c r="M532">
        <v>1114.4100000000001</v>
      </c>
      <c r="N532">
        <f t="shared" si="24"/>
        <v>4711</v>
      </c>
      <c r="O532">
        <f t="shared" si="25"/>
        <v>2120</v>
      </c>
      <c r="P532" s="5">
        <f t="shared" si="26"/>
        <v>3454</v>
      </c>
    </row>
    <row r="533" spans="1:20" ht="15.75" thickBot="1" x14ac:dyDescent="0.3">
      <c r="A533" s="3">
        <v>46119</v>
      </c>
      <c r="B533" s="2" t="s">
        <v>25</v>
      </c>
      <c r="C533" s="2" t="s">
        <v>32</v>
      </c>
      <c r="D533" s="2" t="s">
        <v>67</v>
      </c>
      <c r="E533" s="2" t="s">
        <v>22</v>
      </c>
      <c r="F533" s="2">
        <v>1277955380444250</v>
      </c>
      <c r="G533" s="2">
        <v>1.2024231584645E+17</v>
      </c>
      <c r="H533" s="2">
        <v>1.2024231584646E+17</v>
      </c>
      <c r="I533" s="2">
        <v>1.2024294450961E+17</v>
      </c>
      <c r="J533" s="2" t="s">
        <v>36</v>
      </c>
      <c r="K533" s="4">
        <v>8304</v>
      </c>
      <c r="L533">
        <v>226</v>
      </c>
      <c r="M533">
        <v>926.8</v>
      </c>
      <c r="N533">
        <f t="shared" si="24"/>
        <v>7474</v>
      </c>
      <c r="O533">
        <f t="shared" si="25"/>
        <v>3363</v>
      </c>
      <c r="P533" s="5">
        <f t="shared" si="26"/>
        <v>5481</v>
      </c>
    </row>
    <row r="534" spans="1:20" ht="15.75" thickBot="1" x14ac:dyDescent="0.3">
      <c r="A534" s="3">
        <v>46119</v>
      </c>
      <c r="B534" s="2" t="s">
        <v>56</v>
      </c>
      <c r="C534" s="2" t="s">
        <v>57</v>
      </c>
      <c r="D534" s="2" t="s">
        <v>63</v>
      </c>
      <c r="E534" s="2" t="s">
        <v>22</v>
      </c>
      <c r="F534" s="2">
        <v>1277955380444250</v>
      </c>
      <c r="G534" s="2">
        <v>1.2024270854698E+17</v>
      </c>
      <c r="H534" s="2">
        <v>1.2024270854697E+17</v>
      </c>
      <c r="I534" s="2">
        <v>1.2024294325528E+17</v>
      </c>
      <c r="J534" s="2" t="s">
        <v>23</v>
      </c>
      <c r="K534" s="4">
        <v>4123</v>
      </c>
      <c r="L534">
        <v>448</v>
      </c>
      <c r="M534">
        <v>1071.8</v>
      </c>
      <c r="N534">
        <f t="shared" si="24"/>
        <v>3711</v>
      </c>
      <c r="O534">
        <f t="shared" si="25"/>
        <v>1670</v>
      </c>
      <c r="P534" s="5">
        <f t="shared" si="26"/>
        <v>2721</v>
      </c>
    </row>
    <row r="535" spans="1:20" ht="15.75" thickBot="1" x14ac:dyDescent="0.3">
      <c r="A535" s="3">
        <v>46119</v>
      </c>
      <c r="B535" s="2" t="s">
        <v>56</v>
      </c>
      <c r="C535" s="2" t="s">
        <v>57</v>
      </c>
      <c r="D535" s="2" t="s">
        <v>63</v>
      </c>
      <c r="E535" s="2" t="s">
        <v>22</v>
      </c>
      <c r="F535" s="2">
        <v>1277955380444250</v>
      </c>
      <c r="G535" s="2">
        <v>1.2024270854698E+17</v>
      </c>
      <c r="H535" s="2">
        <v>1.2024270854697E+17</v>
      </c>
      <c r="I535" s="2">
        <v>1.2024294325528E+17</v>
      </c>
      <c r="J535" s="2" t="s">
        <v>24</v>
      </c>
      <c r="K535" s="4">
        <v>5224</v>
      </c>
      <c r="L535">
        <v>581</v>
      </c>
      <c r="M535">
        <v>610.39</v>
      </c>
      <c r="N535">
        <f t="shared" si="24"/>
        <v>4702</v>
      </c>
      <c r="O535">
        <f t="shared" si="25"/>
        <v>2116</v>
      </c>
      <c r="P535" s="5">
        <f t="shared" si="26"/>
        <v>3448</v>
      </c>
    </row>
    <row r="536" spans="1:20" ht="15.75" thickBot="1" x14ac:dyDescent="0.3">
      <c r="A536" s="3">
        <v>46119</v>
      </c>
      <c r="B536" s="2" t="s">
        <v>56</v>
      </c>
      <c r="C536" s="2" t="s">
        <v>57</v>
      </c>
      <c r="D536" s="2" t="s">
        <v>63</v>
      </c>
      <c r="E536" s="2" t="s">
        <v>22</v>
      </c>
      <c r="F536" s="2">
        <v>1277955380444250</v>
      </c>
      <c r="G536" s="2">
        <v>1.2024270854698E+17</v>
      </c>
      <c r="H536" s="2">
        <v>1.2024270854697E+17</v>
      </c>
      <c r="I536" s="2">
        <v>1.2024294325528E+17</v>
      </c>
      <c r="J536" s="2" t="s">
        <v>46</v>
      </c>
      <c r="K536" s="4">
        <v>8872</v>
      </c>
      <c r="L536">
        <v>539</v>
      </c>
      <c r="M536">
        <v>833.82</v>
      </c>
      <c r="N536">
        <f t="shared" si="24"/>
        <v>7985</v>
      </c>
      <c r="O536">
        <f t="shared" si="25"/>
        <v>3593</v>
      </c>
      <c r="P536" s="5">
        <f t="shared" si="26"/>
        <v>5856</v>
      </c>
    </row>
    <row r="537" spans="1:20" ht="15.75" thickBot="1" x14ac:dyDescent="0.3">
      <c r="A537" s="3">
        <v>46120</v>
      </c>
      <c r="B537" s="2" t="s">
        <v>47</v>
      </c>
      <c r="C537" s="2" t="s">
        <v>48</v>
      </c>
      <c r="D537" s="2" t="s">
        <v>49</v>
      </c>
      <c r="E537" s="2" t="s">
        <v>22</v>
      </c>
      <c r="F537" s="2">
        <v>1277955380444250</v>
      </c>
      <c r="G537" s="2">
        <v>1.2024261720294E+17</v>
      </c>
      <c r="H537" s="2">
        <v>1.2024261720296E+17</v>
      </c>
      <c r="I537" s="2">
        <v>1.2024261720295E+17</v>
      </c>
      <c r="J537" s="2" t="s">
        <v>23</v>
      </c>
      <c r="K537" s="4">
        <v>3986</v>
      </c>
      <c r="L537">
        <v>644</v>
      </c>
      <c r="M537">
        <v>982.57</v>
      </c>
      <c r="N537">
        <f t="shared" si="24"/>
        <v>3587</v>
      </c>
      <c r="O537">
        <f t="shared" si="25"/>
        <v>1614</v>
      </c>
      <c r="P537" s="5">
        <f t="shared" si="26"/>
        <v>2631</v>
      </c>
      <c r="S537">
        <v>2</v>
      </c>
    </row>
    <row r="538" spans="1:20" ht="15.75" thickBot="1" x14ac:dyDescent="0.3">
      <c r="A538" s="3">
        <v>46120</v>
      </c>
      <c r="B538" s="2" t="s">
        <v>47</v>
      </c>
      <c r="C538" s="2" t="s">
        <v>48</v>
      </c>
      <c r="D538" s="2" t="s">
        <v>49</v>
      </c>
      <c r="E538" s="2" t="s">
        <v>22</v>
      </c>
      <c r="F538" s="2">
        <v>1277955380444250</v>
      </c>
      <c r="G538" s="2">
        <v>1.2024261720294E+17</v>
      </c>
      <c r="H538" s="2">
        <v>1.2024261720296E+17</v>
      </c>
      <c r="I538" s="2">
        <v>1.2024261720295E+17</v>
      </c>
      <c r="J538" s="2" t="s">
        <v>24</v>
      </c>
      <c r="K538" s="4">
        <v>1818</v>
      </c>
      <c r="L538">
        <v>453</v>
      </c>
      <c r="M538">
        <v>240.44</v>
      </c>
      <c r="N538">
        <f t="shared" si="24"/>
        <v>1636</v>
      </c>
      <c r="O538">
        <f t="shared" si="25"/>
        <v>736</v>
      </c>
      <c r="P538" s="5">
        <f t="shared" si="26"/>
        <v>1200</v>
      </c>
      <c r="R538">
        <v>2225</v>
      </c>
      <c r="S538">
        <v>3259</v>
      </c>
      <c r="T538">
        <v>522</v>
      </c>
    </row>
    <row r="539" spans="1:20" ht="15.75" thickBot="1" x14ac:dyDescent="0.3">
      <c r="A539" s="3">
        <v>46120</v>
      </c>
      <c r="B539" s="2" t="s">
        <v>47</v>
      </c>
      <c r="C539" s="2" t="s">
        <v>48</v>
      </c>
      <c r="D539" s="2" t="s">
        <v>60</v>
      </c>
      <c r="E539" s="2" t="s">
        <v>22</v>
      </c>
      <c r="F539" s="2">
        <v>1277955380444250</v>
      </c>
      <c r="G539" s="2">
        <v>1.2024261720294E+17</v>
      </c>
      <c r="H539" s="2">
        <v>1.2024261720296E+17</v>
      </c>
      <c r="I539" s="2">
        <v>1.2024292195261E+17</v>
      </c>
      <c r="J539" s="2" t="s">
        <v>23</v>
      </c>
      <c r="K539" s="4">
        <v>1564</v>
      </c>
      <c r="L539">
        <v>407</v>
      </c>
      <c r="M539">
        <v>1964.2</v>
      </c>
      <c r="N539">
        <f t="shared" si="24"/>
        <v>1408</v>
      </c>
      <c r="O539">
        <f t="shared" si="25"/>
        <v>634</v>
      </c>
      <c r="P539" s="5">
        <f t="shared" si="26"/>
        <v>1032</v>
      </c>
      <c r="R539">
        <v>17085</v>
      </c>
      <c r="S539">
        <v>44938</v>
      </c>
      <c r="T539">
        <v>6694</v>
      </c>
    </row>
    <row r="540" spans="1:20" ht="15.75" thickBot="1" x14ac:dyDescent="0.3">
      <c r="A540" s="3">
        <v>46120</v>
      </c>
      <c r="B540" s="2" t="s">
        <v>47</v>
      </c>
      <c r="C540" s="2" t="s">
        <v>48</v>
      </c>
      <c r="D540" s="2" t="s">
        <v>60</v>
      </c>
      <c r="E540" s="2" t="s">
        <v>22</v>
      </c>
      <c r="F540" s="2">
        <v>1277955380444250</v>
      </c>
      <c r="G540" s="2">
        <v>1.2024261720294E+17</v>
      </c>
      <c r="H540" s="2">
        <v>1.2024261720296E+17</v>
      </c>
      <c r="I540" s="2">
        <v>1.2024292195261E+17</v>
      </c>
      <c r="J540" s="2" t="s">
        <v>24</v>
      </c>
      <c r="K540" s="4">
        <v>3279</v>
      </c>
      <c r="L540">
        <v>542</v>
      </c>
      <c r="M540">
        <v>493.15</v>
      </c>
      <c r="N540">
        <f t="shared" si="24"/>
        <v>2951</v>
      </c>
      <c r="O540">
        <f t="shared" si="25"/>
        <v>1328</v>
      </c>
      <c r="P540" s="5">
        <f t="shared" si="26"/>
        <v>2164</v>
      </c>
      <c r="R540">
        <v>465903</v>
      </c>
      <c r="S540">
        <v>1553398</v>
      </c>
      <c r="T540">
        <v>307154</v>
      </c>
    </row>
    <row r="541" spans="1:20" ht="15.75" thickBot="1" x14ac:dyDescent="0.3">
      <c r="A541" s="3">
        <v>46120</v>
      </c>
      <c r="B541" s="2" t="s">
        <v>19</v>
      </c>
      <c r="C541" s="2" t="s">
        <v>20</v>
      </c>
      <c r="D541" s="2" t="s">
        <v>21</v>
      </c>
      <c r="E541" s="2" t="s">
        <v>22</v>
      </c>
      <c r="F541" s="2">
        <v>1277955380444250</v>
      </c>
      <c r="G541" s="2">
        <v>1.2024229057228E+17</v>
      </c>
      <c r="H541" s="2">
        <v>1.2024229057229E+17</v>
      </c>
      <c r="I541" s="2">
        <v>1.2024229057227E+17</v>
      </c>
      <c r="J541" s="2" t="s">
        <v>23</v>
      </c>
      <c r="K541" s="4">
        <v>8318</v>
      </c>
      <c r="L541">
        <v>891</v>
      </c>
      <c r="M541">
        <v>829.24</v>
      </c>
      <c r="N541">
        <f t="shared" si="24"/>
        <v>7486</v>
      </c>
      <c r="O541">
        <f t="shared" si="25"/>
        <v>3369</v>
      </c>
      <c r="P541" s="5">
        <f t="shared" si="26"/>
        <v>5490</v>
      </c>
      <c r="S541">
        <v>147</v>
      </c>
      <c r="T541">
        <v>4</v>
      </c>
    </row>
    <row r="542" spans="1:20" ht="15.75" thickBot="1" x14ac:dyDescent="0.3">
      <c r="A542" s="3">
        <v>46120</v>
      </c>
      <c r="B542" s="2" t="s">
        <v>19</v>
      </c>
      <c r="C542" s="2" t="s">
        <v>20</v>
      </c>
      <c r="D542" s="2" t="s">
        <v>21</v>
      </c>
      <c r="E542" s="2" t="s">
        <v>22</v>
      </c>
      <c r="F542" s="2">
        <v>1277955380444250</v>
      </c>
      <c r="G542" s="2">
        <v>1.2024229057228E+17</v>
      </c>
      <c r="H542" s="2">
        <v>1.2024229057229E+17</v>
      </c>
      <c r="I542" s="2">
        <v>1.2024229057227E+17</v>
      </c>
      <c r="J542" s="2" t="s">
        <v>24</v>
      </c>
      <c r="K542" s="4">
        <v>2075</v>
      </c>
      <c r="L542">
        <v>54</v>
      </c>
      <c r="M542">
        <v>1102.53</v>
      </c>
      <c r="N542">
        <f t="shared" si="24"/>
        <v>1868</v>
      </c>
      <c r="O542">
        <f t="shared" si="25"/>
        <v>841</v>
      </c>
      <c r="P542" s="5">
        <f t="shared" si="26"/>
        <v>1370</v>
      </c>
      <c r="S542">
        <v>10244</v>
      </c>
      <c r="T542">
        <v>35</v>
      </c>
    </row>
    <row r="543" spans="1:20" ht="15.75" thickBot="1" x14ac:dyDescent="0.3">
      <c r="A543" s="3">
        <v>46120</v>
      </c>
      <c r="B543" s="2" t="s">
        <v>19</v>
      </c>
      <c r="C543" s="2" t="s">
        <v>20</v>
      </c>
      <c r="D543" s="2" t="s">
        <v>34</v>
      </c>
      <c r="E543" s="2" t="s">
        <v>22</v>
      </c>
      <c r="F543" s="2">
        <v>1277955380444250</v>
      </c>
      <c r="G543" s="2">
        <v>1.2024229057228E+17</v>
      </c>
      <c r="H543" s="2">
        <v>1.2024229057229E+17</v>
      </c>
      <c r="I543" s="2">
        <v>1.2024229334046E+17</v>
      </c>
      <c r="J543" s="2" t="s">
        <v>23</v>
      </c>
      <c r="K543" s="4">
        <v>6602</v>
      </c>
      <c r="L543">
        <v>468</v>
      </c>
      <c r="M543">
        <v>1261.71</v>
      </c>
      <c r="N543">
        <f t="shared" si="24"/>
        <v>5942</v>
      </c>
      <c r="O543">
        <f t="shared" si="25"/>
        <v>2674</v>
      </c>
      <c r="P543" s="5">
        <f t="shared" si="26"/>
        <v>4357</v>
      </c>
      <c r="S543">
        <v>118</v>
      </c>
      <c r="T543">
        <v>1</v>
      </c>
    </row>
    <row r="544" spans="1:20" ht="15.75" thickBot="1" x14ac:dyDescent="0.3">
      <c r="A544" s="3">
        <v>46120</v>
      </c>
      <c r="B544" s="2" t="s">
        <v>19</v>
      </c>
      <c r="C544" s="2" t="s">
        <v>20</v>
      </c>
      <c r="D544" s="2" t="s">
        <v>34</v>
      </c>
      <c r="E544" s="2" t="s">
        <v>22</v>
      </c>
      <c r="F544" s="2">
        <v>1277955380444250</v>
      </c>
      <c r="G544" s="2">
        <v>1.2024229057228E+17</v>
      </c>
      <c r="H544" s="2">
        <v>1.2024229057229E+17</v>
      </c>
      <c r="I544" s="2">
        <v>1.2024229334046E+17</v>
      </c>
      <c r="J544" s="2" t="s">
        <v>24</v>
      </c>
      <c r="K544" s="4">
        <v>9583</v>
      </c>
      <c r="L544">
        <v>618</v>
      </c>
      <c r="M544">
        <v>802.62</v>
      </c>
      <c r="N544">
        <f t="shared" si="24"/>
        <v>8625</v>
      </c>
      <c r="O544">
        <f t="shared" si="25"/>
        <v>3881</v>
      </c>
      <c r="P544" s="5">
        <f t="shared" si="26"/>
        <v>6325</v>
      </c>
      <c r="S544">
        <v>35632</v>
      </c>
      <c r="T544">
        <v>134</v>
      </c>
    </row>
    <row r="545" spans="1:20" ht="15.75" thickBot="1" x14ac:dyDescent="0.3">
      <c r="A545" s="3">
        <v>46120</v>
      </c>
      <c r="B545" s="2" t="s">
        <v>19</v>
      </c>
      <c r="C545" s="2" t="s">
        <v>50</v>
      </c>
      <c r="D545" s="2" t="s">
        <v>51</v>
      </c>
      <c r="E545" s="2" t="s">
        <v>22</v>
      </c>
      <c r="F545" s="2">
        <v>1277955380444250</v>
      </c>
      <c r="G545" s="2">
        <v>1.2024229057228E+17</v>
      </c>
      <c r="H545" s="2">
        <v>1.2024270613878E+17</v>
      </c>
      <c r="I545" s="2">
        <v>1.202427061388E+17</v>
      </c>
      <c r="J545" s="2" t="s">
        <v>23</v>
      </c>
      <c r="K545" s="4">
        <v>4313</v>
      </c>
      <c r="L545">
        <v>147</v>
      </c>
      <c r="M545">
        <v>1564.98</v>
      </c>
      <c r="N545">
        <f t="shared" si="24"/>
        <v>3882</v>
      </c>
      <c r="O545">
        <f t="shared" si="25"/>
        <v>1747</v>
      </c>
      <c r="P545" s="5">
        <f t="shared" si="26"/>
        <v>2847</v>
      </c>
      <c r="S545">
        <v>5085</v>
      </c>
      <c r="T545">
        <v>107</v>
      </c>
    </row>
    <row r="546" spans="1:20" ht="15.75" thickBot="1" x14ac:dyDescent="0.3">
      <c r="A546" s="3">
        <v>46120</v>
      </c>
      <c r="B546" s="2" t="s">
        <v>19</v>
      </c>
      <c r="C546" s="2" t="s">
        <v>50</v>
      </c>
      <c r="D546" s="2" t="s">
        <v>51</v>
      </c>
      <c r="E546" s="2" t="s">
        <v>22</v>
      </c>
      <c r="F546" s="2">
        <v>1277955380444250</v>
      </c>
      <c r="G546" s="2">
        <v>1.2024229057228E+17</v>
      </c>
      <c r="H546" s="2">
        <v>1.2024270613878E+17</v>
      </c>
      <c r="I546" s="2">
        <v>1.202427061388E+17</v>
      </c>
      <c r="J546" s="2" t="s">
        <v>24</v>
      </c>
      <c r="K546" s="4">
        <v>7113</v>
      </c>
      <c r="L546">
        <v>395</v>
      </c>
      <c r="M546">
        <v>1372.3</v>
      </c>
      <c r="N546">
        <f t="shared" si="24"/>
        <v>6402</v>
      </c>
      <c r="O546">
        <f t="shared" si="25"/>
        <v>2881</v>
      </c>
      <c r="P546" s="5">
        <f t="shared" si="26"/>
        <v>4695</v>
      </c>
      <c r="S546">
        <v>231273</v>
      </c>
      <c r="T546">
        <v>1405</v>
      </c>
    </row>
    <row r="547" spans="1:20" ht="15.75" thickBot="1" x14ac:dyDescent="0.3">
      <c r="A547" s="3">
        <v>46120</v>
      </c>
      <c r="B547" s="2" t="s">
        <v>19</v>
      </c>
      <c r="C547" s="2" t="s">
        <v>50</v>
      </c>
      <c r="D547" s="2" t="s">
        <v>53</v>
      </c>
      <c r="E547" s="2" t="s">
        <v>22</v>
      </c>
      <c r="F547" s="2">
        <v>1277955380444250</v>
      </c>
      <c r="G547" s="2">
        <v>1.2024229057228E+17</v>
      </c>
      <c r="H547" s="2">
        <v>1.2024270613878E+17</v>
      </c>
      <c r="I547" s="2">
        <v>1.2024270613881E+17</v>
      </c>
      <c r="J547" s="2" t="s">
        <v>23</v>
      </c>
      <c r="K547" s="4">
        <v>1417</v>
      </c>
      <c r="L547">
        <v>555</v>
      </c>
      <c r="M547">
        <v>782.63</v>
      </c>
      <c r="N547">
        <f t="shared" si="24"/>
        <v>1275</v>
      </c>
      <c r="O547">
        <f t="shared" si="25"/>
        <v>574</v>
      </c>
      <c r="P547" s="5">
        <f t="shared" si="26"/>
        <v>935</v>
      </c>
      <c r="S547">
        <v>18</v>
      </c>
    </row>
    <row r="548" spans="1:20" ht="15.75" thickBot="1" x14ac:dyDescent="0.3">
      <c r="A548" s="3">
        <v>46120</v>
      </c>
      <c r="B548" s="2" t="s">
        <v>19</v>
      </c>
      <c r="C548" s="2" t="s">
        <v>50</v>
      </c>
      <c r="D548" s="2" t="s">
        <v>53</v>
      </c>
      <c r="E548" s="2" t="s">
        <v>22</v>
      </c>
      <c r="F548" s="2">
        <v>1277955380444250</v>
      </c>
      <c r="G548" s="2">
        <v>1.2024229057228E+17</v>
      </c>
      <c r="H548" s="2">
        <v>1.2024270613878E+17</v>
      </c>
      <c r="I548" s="2">
        <v>1.2024270613881E+17</v>
      </c>
      <c r="J548" s="2" t="s">
        <v>24</v>
      </c>
      <c r="K548" s="4">
        <v>6051</v>
      </c>
      <c r="L548">
        <v>118</v>
      </c>
      <c r="M548">
        <v>871.74</v>
      </c>
      <c r="N548">
        <f t="shared" si="24"/>
        <v>5446</v>
      </c>
      <c r="O548">
        <f t="shared" si="25"/>
        <v>2451</v>
      </c>
      <c r="P548" s="5">
        <f t="shared" si="26"/>
        <v>3994</v>
      </c>
      <c r="S548">
        <v>2199</v>
      </c>
      <c r="T548">
        <v>10</v>
      </c>
    </row>
    <row r="549" spans="1:20" ht="15.75" thickBot="1" x14ac:dyDescent="0.3">
      <c r="A549" s="3">
        <v>46120</v>
      </c>
      <c r="B549" s="2" t="s">
        <v>19</v>
      </c>
      <c r="C549" s="2" t="s">
        <v>50</v>
      </c>
      <c r="D549" s="2" t="s">
        <v>53</v>
      </c>
      <c r="E549" s="2" t="s">
        <v>22</v>
      </c>
      <c r="F549" s="2">
        <v>1277955380444250</v>
      </c>
      <c r="G549" s="2">
        <v>1.2024229057228E+17</v>
      </c>
      <c r="H549" s="2">
        <v>1.2024270613878E+17</v>
      </c>
      <c r="I549" s="2">
        <v>1.2024270613881E+17</v>
      </c>
      <c r="J549" s="2" t="s">
        <v>36</v>
      </c>
      <c r="K549" s="4">
        <v>3007</v>
      </c>
      <c r="L549">
        <v>484</v>
      </c>
      <c r="M549">
        <v>1668.62</v>
      </c>
      <c r="N549">
        <f t="shared" si="24"/>
        <v>2706</v>
      </c>
      <c r="O549">
        <f t="shared" si="25"/>
        <v>1218</v>
      </c>
      <c r="P549" s="5">
        <f t="shared" si="26"/>
        <v>1985</v>
      </c>
      <c r="S549">
        <v>2</v>
      </c>
    </row>
    <row r="550" spans="1:20" ht="15.75" thickBot="1" x14ac:dyDescent="0.3">
      <c r="A550" s="3">
        <v>46120</v>
      </c>
      <c r="B550" s="2" t="s">
        <v>19</v>
      </c>
      <c r="C550" s="2" t="s">
        <v>50</v>
      </c>
      <c r="D550" s="2" t="s">
        <v>54</v>
      </c>
      <c r="E550" s="2" t="s">
        <v>22</v>
      </c>
      <c r="F550" s="2">
        <v>1277955380444250</v>
      </c>
      <c r="G550" s="2">
        <v>1.2024229057228E+17</v>
      </c>
      <c r="H550" s="2">
        <v>1.2024270613878E+17</v>
      </c>
      <c r="I550" s="2">
        <v>1.2024270623134E+17</v>
      </c>
      <c r="J550" s="2" t="s">
        <v>23</v>
      </c>
      <c r="K550" s="4">
        <v>7022</v>
      </c>
      <c r="L550">
        <v>388</v>
      </c>
      <c r="M550">
        <v>1631</v>
      </c>
      <c r="N550">
        <f t="shared" si="24"/>
        <v>6320</v>
      </c>
      <c r="O550">
        <f t="shared" si="25"/>
        <v>2844</v>
      </c>
      <c r="P550" s="5">
        <f t="shared" si="26"/>
        <v>4635</v>
      </c>
      <c r="S550">
        <v>140</v>
      </c>
      <c r="T550">
        <v>1</v>
      </c>
    </row>
    <row r="551" spans="1:20" ht="15.75" thickBot="1" x14ac:dyDescent="0.3">
      <c r="A551" s="3">
        <v>46120</v>
      </c>
      <c r="B551" s="2" t="s">
        <v>19</v>
      </c>
      <c r="C551" s="2" t="s">
        <v>50</v>
      </c>
      <c r="D551" s="2" t="s">
        <v>54</v>
      </c>
      <c r="E551" s="2" t="s">
        <v>22</v>
      </c>
      <c r="F551" s="2">
        <v>1277955380444250</v>
      </c>
      <c r="G551" s="2">
        <v>1.2024229057228E+17</v>
      </c>
      <c r="H551" s="2">
        <v>1.2024270613878E+17</v>
      </c>
      <c r="I551" s="2">
        <v>1.2024270623134E+17</v>
      </c>
      <c r="J551" s="2" t="s">
        <v>24</v>
      </c>
      <c r="K551" s="4">
        <v>8948</v>
      </c>
      <c r="L551">
        <v>576</v>
      </c>
      <c r="M551">
        <v>1486.81</v>
      </c>
      <c r="N551">
        <f t="shared" si="24"/>
        <v>8053</v>
      </c>
      <c r="O551">
        <f t="shared" si="25"/>
        <v>3624</v>
      </c>
      <c r="P551" s="5">
        <f t="shared" si="26"/>
        <v>5906</v>
      </c>
      <c r="S551">
        <v>33668</v>
      </c>
      <c r="T551">
        <v>138</v>
      </c>
    </row>
    <row r="552" spans="1:20" ht="15.75" thickBot="1" x14ac:dyDescent="0.3">
      <c r="A552" s="3">
        <v>46120</v>
      </c>
      <c r="B552" s="2" t="s">
        <v>25</v>
      </c>
      <c r="C552" s="2" t="s">
        <v>40</v>
      </c>
      <c r="D552" s="2" t="s">
        <v>68</v>
      </c>
      <c r="E552" s="2" t="s">
        <v>22</v>
      </c>
      <c r="F552" s="2">
        <v>1277955380444250</v>
      </c>
      <c r="G552" s="2">
        <v>1.2024231584645E+17</v>
      </c>
      <c r="H552" s="2">
        <v>1.2024246508913E+17</v>
      </c>
      <c r="I552" s="2">
        <v>1.2024321084261E+17</v>
      </c>
      <c r="J552" s="2" t="s">
        <v>23</v>
      </c>
      <c r="K552" s="4">
        <v>8182</v>
      </c>
      <c r="L552">
        <v>629</v>
      </c>
      <c r="M552">
        <v>1099.72</v>
      </c>
      <c r="N552">
        <f t="shared" si="24"/>
        <v>7364</v>
      </c>
      <c r="O552">
        <f t="shared" si="25"/>
        <v>3314</v>
      </c>
      <c r="P552" s="5">
        <f t="shared" si="26"/>
        <v>5400</v>
      </c>
    </row>
    <row r="553" spans="1:20" ht="15.75" thickBot="1" x14ac:dyDescent="0.3">
      <c r="A553" s="3">
        <v>46120</v>
      </c>
      <c r="B553" s="2" t="s">
        <v>25</v>
      </c>
      <c r="C553" s="2" t="s">
        <v>40</v>
      </c>
      <c r="D553" s="2" t="s">
        <v>68</v>
      </c>
      <c r="E553" s="2" t="s">
        <v>22</v>
      </c>
      <c r="F553" s="2">
        <v>1277955380444250</v>
      </c>
      <c r="G553" s="2">
        <v>1.2024231584645E+17</v>
      </c>
      <c r="H553" s="2">
        <v>1.2024246508913E+17</v>
      </c>
      <c r="I553" s="2">
        <v>1.2024321084261E+17</v>
      </c>
      <c r="J553" s="2" t="s">
        <v>24</v>
      </c>
      <c r="K553" s="4">
        <v>8650</v>
      </c>
      <c r="L553">
        <v>230</v>
      </c>
      <c r="M553">
        <v>765.45</v>
      </c>
      <c r="N553">
        <f t="shared" si="24"/>
        <v>7785</v>
      </c>
      <c r="O553">
        <f t="shared" si="25"/>
        <v>3503</v>
      </c>
      <c r="P553" s="5">
        <f t="shared" si="26"/>
        <v>5709</v>
      </c>
    </row>
    <row r="554" spans="1:20" ht="15.75" thickBot="1" x14ac:dyDescent="0.3">
      <c r="A554" s="3">
        <v>46120</v>
      </c>
      <c r="B554" s="2" t="s">
        <v>25</v>
      </c>
      <c r="C554" s="2" t="s">
        <v>40</v>
      </c>
      <c r="D554" s="2" t="s">
        <v>61</v>
      </c>
      <c r="E554" s="2" t="s">
        <v>22</v>
      </c>
      <c r="F554" s="2">
        <v>1277955380444250</v>
      </c>
      <c r="G554" s="2">
        <v>1.2024231584645E+17</v>
      </c>
      <c r="H554" s="2">
        <v>1.2024246508913E+17</v>
      </c>
      <c r="I554" s="2">
        <v>1.2024294401448E+17</v>
      </c>
      <c r="J554" s="2" t="s">
        <v>23</v>
      </c>
      <c r="K554" s="4">
        <v>3599</v>
      </c>
      <c r="L554">
        <v>431</v>
      </c>
      <c r="M554">
        <v>491.41</v>
      </c>
      <c r="N554">
        <f t="shared" si="24"/>
        <v>3239</v>
      </c>
      <c r="O554">
        <f t="shared" si="25"/>
        <v>1458</v>
      </c>
      <c r="P554" s="5">
        <f t="shared" si="26"/>
        <v>2375</v>
      </c>
    </row>
    <row r="555" spans="1:20" ht="15.75" thickBot="1" x14ac:dyDescent="0.3">
      <c r="A555" s="3">
        <v>46120</v>
      </c>
      <c r="B555" s="2" t="s">
        <v>25</v>
      </c>
      <c r="C555" s="2" t="s">
        <v>40</v>
      </c>
      <c r="D555" s="2" t="s">
        <v>61</v>
      </c>
      <c r="E555" s="2" t="s">
        <v>22</v>
      </c>
      <c r="F555" s="2">
        <v>1277955380444250</v>
      </c>
      <c r="G555" s="2">
        <v>1.2024231584645E+17</v>
      </c>
      <c r="H555" s="2">
        <v>1.2024246508913E+17</v>
      </c>
      <c r="I555" s="2">
        <v>1.2024294401448E+17</v>
      </c>
      <c r="J555" s="2" t="s">
        <v>24</v>
      </c>
      <c r="K555" s="4">
        <v>1335</v>
      </c>
      <c r="L555">
        <v>495</v>
      </c>
      <c r="M555">
        <v>1164.1500000000001</v>
      </c>
      <c r="N555">
        <f t="shared" si="24"/>
        <v>1202</v>
      </c>
      <c r="O555">
        <f t="shared" si="25"/>
        <v>541</v>
      </c>
      <c r="P555" s="5">
        <f t="shared" si="26"/>
        <v>881</v>
      </c>
    </row>
    <row r="556" spans="1:20" ht="15.75" thickBot="1" x14ac:dyDescent="0.3">
      <c r="A556" s="3">
        <v>46120</v>
      </c>
      <c r="B556" s="2" t="s">
        <v>25</v>
      </c>
      <c r="C556" s="2" t="s">
        <v>40</v>
      </c>
      <c r="D556" s="2" t="s">
        <v>61</v>
      </c>
      <c r="E556" s="2" t="s">
        <v>22</v>
      </c>
      <c r="F556" s="2">
        <v>1277955380444250</v>
      </c>
      <c r="G556" s="2">
        <v>1.2024231584645E+17</v>
      </c>
      <c r="H556" s="2">
        <v>1.2024246508913E+17</v>
      </c>
      <c r="I556" s="2">
        <v>1.2024294401448E+17</v>
      </c>
      <c r="J556" s="2" t="s">
        <v>36</v>
      </c>
      <c r="K556" s="4">
        <v>3714</v>
      </c>
      <c r="L556">
        <v>632</v>
      </c>
      <c r="M556">
        <v>1860.78</v>
      </c>
      <c r="N556">
        <f t="shared" si="24"/>
        <v>3343</v>
      </c>
      <c r="O556">
        <f t="shared" si="25"/>
        <v>1504</v>
      </c>
      <c r="P556" s="5">
        <f t="shared" si="26"/>
        <v>2451</v>
      </c>
    </row>
    <row r="557" spans="1:20" ht="15.75" thickBot="1" x14ac:dyDescent="0.3">
      <c r="A557" s="3">
        <v>46120</v>
      </c>
      <c r="B557" s="2" t="s">
        <v>25</v>
      </c>
      <c r="C557" s="2" t="s">
        <v>40</v>
      </c>
      <c r="D557" s="2" t="s">
        <v>61</v>
      </c>
      <c r="E557" s="2" t="s">
        <v>22</v>
      </c>
      <c r="F557" s="2">
        <v>1277955380444250</v>
      </c>
      <c r="G557" s="2">
        <v>1.2024231584645E+17</v>
      </c>
      <c r="H557" s="2">
        <v>1.2024246508913E+17</v>
      </c>
      <c r="I557" s="2">
        <v>1.2024294401448E+17</v>
      </c>
      <c r="J557" s="2" t="s">
        <v>46</v>
      </c>
      <c r="K557" s="4">
        <v>7080</v>
      </c>
      <c r="L557">
        <v>63</v>
      </c>
      <c r="M557">
        <v>1238.24</v>
      </c>
      <c r="N557">
        <f t="shared" si="24"/>
        <v>6372</v>
      </c>
      <c r="O557">
        <f t="shared" si="25"/>
        <v>2867</v>
      </c>
      <c r="P557" s="5">
        <f t="shared" si="26"/>
        <v>4673</v>
      </c>
    </row>
    <row r="558" spans="1:20" ht="15.75" thickBot="1" x14ac:dyDescent="0.3">
      <c r="A558" s="3">
        <v>46120</v>
      </c>
      <c r="B558" s="2" t="s">
        <v>25</v>
      </c>
      <c r="C558" s="2" t="s">
        <v>28</v>
      </c>
      <c r="D558" s="2" t="s">
        <v>69</v>
      </c>
      <c r="E558" s="2" t="s">
        <v>22</v>
      </c>
      <c r="F558" s="2">
        <v>1277955380444250</v>
      </c>
      <c r="G558" s="2">
        <v>1.2024231584645E+17</v>
      </c>
      <c r="H558" s="2">
        <v>1.2024231613167E+17</v>
      </c>
      <c r="I558" s="2">
        <v>1.2024321114399E+17</v>
      </c>
      <c r="J558" s="2" t="s">
        <v>23</v>
      </c>
      <c r="K558" s="4">
        <v>6528</v>
      </c>
      <c r="L558">
        <v>662</v>
      </c>
      <c r="M558">
        <v>358.82</v>
      </c>
      <c r="N558">
        <f t="shared" si="24"/>
        <v>5875</v>
      </c>
      <c r="O558">
        <f t="shared" si="25"/>
        <v>2644</v>
      </c>
      <c r="P558" s="5">
        <f t="shared" si="26"/>
        <v>4308</v>
      </c>
    </row>
    <row r="559" spans="1:20" ht="15.75" thickBot="1" x14ac:dyDescent="0.3">
      <c r="A559" s="3">
        <v>46120</v>
      </c>
      <c r="B559" s="2" t="s">
        <v>25</v>
      </c>
      <c r="C559" s="2" t="s">
        <v>28</v>
      </c>
      <c r="D559" s="2" t="s">
        <v>69</v>
      </c>
      <c r="E559" s="2" t="s">
        <v>22</v>
      </c>
      <c r="F559" s="2">
        <v>1277955380444250</v>
      </c>
      <c r="G559" s="2">
        <v>1.2024231584645E+17</v>
      </c>
      <c r="H559" s="2">
        <v>1.2024231613167E+17</v>
      </c>
      <c r="I559" s="2">
        <v>1.2024321114399E+17</v>
      </c>
      <c r="J559" s="2" t="s">
        <v>24</v>
      </c>
      <c r="K559" s="4">
        <v>4521</v>
      </c>
      <c r="L559">
        <v>297</v>
      </c>
      <c r="M559">
        <v>1431.67</v>
      </c>
      <c r="N559">
        <f t="shared" si="24"/>
        <v>4069</v>
      </c>
      <c r="O559">
        <f t="shared" si="25"/>
        <v>1831</v>
      </c>
      <c r="P559" s="5">
        <f t="shared" si="26"/>
        <v>2984</v>
      </c>
    </row>
    <row r="560" spans="1:20" ht="15.75" thickBot="1" x14ac:dyDescent="0.3">
      <c r="A560" s="3">
        <v>46120</v>
      </c>
      <c r="B560" s="2" t="s">
        <v>25</v>
      </c>
      <c r="C560" s="2" t="s">
        <v>30</v>
      </c>
      <c r="D560" s="2" t="s">
        <v>66</v>
      </c>
      <c r="E560" s="2" t="s">
        <v>22</v>
      </c>
      <c r="F560" s="2">
        <v>1277955380444250</v>
      </c>
      <c r="G560" s="2">
        <v>1.2024231584645E+17</v>
      </c>
      <c r="H560" s="2">
        <v>1.2024231592817E+17</v>
      </c>
      <c r="I560" s="2">
        <v>1.2024297479832E+17</v>
      </c>
      <c r="J560" s="2" t="s">
        <v>24</v>
      </c>
      <c r="K560" s="4">
        <v>5117</v>
      </c>
      <c r="L560">
        <v>839</v>
      </c>
      <c r="M560">
        <v>903.3</v>
      </c>
      <c r="N560">
        <f t="shared" si="24"/>
        <v>4605</v>
      </c>
      <c r="O560">
        <f t="shared" si="25"/>
        <v>2072</v>
      </c>
      <c r="P560" s="5">
        <f t="shared" si="26"/>
        <v>3377</v>
      </c>
    </row>
    <row r="561" spans="1:16" ht="15.75" thickBot="1" x14ac:dyDescent="0.3">
      <c r="A561" s="3">
        <v>46120</v>
      </c>
      <c r="B561" s="2" t="s">
        <v>25</v>
      </c>
      <c r="C561" s="2" t="s">
        <v>30</v>
      </c>
      <c r="D561" s="2" t="s">
        <v>70</v>
      </c>
      <c r="E561" s="2" t="s">
        <v>22</v>
      </c>
      <c r="F561" s="2">
        <v>1277955380444250</v>
      </c>
      <c r="G561" s="2">
        <v>1.2024231584645E+17</v>
      </c>
      <c r="H561" s="2">
        <v>1.2024231592817E+17</v>
      </c>
      <c r="I561" s="2">
        <v>1.2024321332497E+17</v>
      </c>
      <c r="J561" s="2" t="s">
        <v>23</v>
      </c>
      <c r="K561" s="4">
        <v>1430</v>
      </c>
      <c r="L561">
        <v>375</v>
      </c>
      <c r="M561">
        <v>1877.3</v>
      </c>
      <c r="N561">
        <f t="shared" si="24"/>
        <v>1287</v>
      </c>
      <c r="O561">
        <f t="shared" si="25"/>
        <v>579</v>
      </c>
      <c r="P561" s="5">
        <f t="shared" si="26"/>
        <v>944</v>
      </c>
    </row>
    <row r="562" spans="1:16" ht="15.75" thickBot="1" x14ac:dyDescent="0.3">
      <c r="A562" s="3">
        <v>46120</v>
      </c>
      <c r="B562" s="2" t="s">
        <v>25</v>
      </c>
      <c r="C562" s="2" t="s">
        <v>30</v>
      </c>
      <c r="D562" s="2" t="s">
        <v>70</v>
      </c>
      <c r="E562" s="2" t="s">
        <v>22</v>
      </c>
      <c r="F562" s="2">
        <v>1277955380444250</v>
      </c>
      <c r="G562" s="2">
        <v>1.2024231584645E+17</v>
      </c>
      <c r="H562" s="2">
        <v>1.2024231592817E+17</v>
      </c>
      <c r="I562" s="2">
        <v>1.2024321332497E+17</v>
      </c>
      <c r="J562" s="2" t="s">
        <v>24</v>
      </c>
      <c r="K562" s="4">
        <v>3405</v>
      </c>
      <c r="L562">
        <v>649</v>
      </c>
      <c r="M562">
        <v>1741.29</v>
      </c>
      <c r="N562">
        <f t="shared" si="24"/>
        <v>3065</v>
      </c>
      <c r="O562">
        <f t="shared" si="25"/>
        <v>1379</v>
      </c>
      <c r="P562" s="5">
        <f t="shared" si="26"/>
        <v>2247</v>
      </c>
    </row>
    <row r="563" spans="1:16" ht="15.75" thickBot="1" x14ac:dyDescent="0.3">
      <c r="A563" s="3">
        <v>46120</v>
      </c>
      <c r="B563" s="2" t="s">
        <v>25</v>
      </c>
      <c r="C563" s="2" t="s">
        <v>32</v>
      </c>
      <c r="D563" s="2" t="s">
        <v>67</v>
      </c>
      <c r="E563" s="2" t="s">
        <v>22</v>
      </c>
      <c r="F563" s="2">
        <v>1277955380444250</v>
      </c>
      <c r="G563" s="2">
        <v>1.2024231584645E+17</v>
      </c>
      <c r="H563" s="2">
        <v>1.2024231584646E+17</v>
      </c>
      <c r="I563" s="2">
        <v>1.2024294450961E+17</v>
      </c>
      <c r="J563" s="2" t="s">
        <v>23</v>
      </c>
      <c r="K563" s="4">
        <v>5424</v>
      </c>
      <c r="L563">
        <v>459</v>
      </c>
      <c r="M563">
        <v>672.58</v>
      </c>
      <c r="N563">
        <f t="shared" si="24"/>
        <v>4882</v>
      </c>
      <c r="O563">
        <f t="shared" si="25"/>
        <v>2197</v>
      </c>
      <c r="P563" s="5">
        <f t="shared" si="26"/>
        <v>3580</v>
      </c>
    </row>
    <row r="564" spans="1:16" ht="15.75" thickBot="1" x14ac:dyDescent="0.3">
      <c r="A564" s="3">
        <v>46120</v>
      </c>
      <c r="B564" s="2" t="s">
        <v>25</v>
      </c>
      <c r="C564" s="2" t="s">
        <v>32</v>
      </c>
      <c r="D564" s="2" t="s">
        <v>67</v>
      </c>
      <c r="E564" s="2" t="s">
        <v>22</v>
      </c>
      <c r="F564" s="2">
        <v>1277955380444250</v>
      </c>
      <c r="G564" s="2">
        <v>1.2024231584645E+17</v>
      </c>
      <c r="H564" s="2">
        <v>1.2024231584646E+17</v>
      </c>
      <c r="I564" s="2">
        <v>1.2024294450961E+17</v>
      </c>
      <c r="J564" s="2" t="s">
        <v>24</v>
      </c>
      <c r="K564" s="4">
        <v>7130</v>
      </c>
      <c r="L564">
        <v>157</v>
      </c>
      <c r="M564">
        <v>1492.85</v>
      </c>
      <c r="N564">
        <f t="shared" si="24"/>
        <v>6417</v>
      </c>
      <c r="O564">
        <f t="shared" si="25"/>
        <v>2888</v>
      </c>
      <c r="P564" s="5">
        <f t="shared" si="26"/>
        <v>4706</v>
      </c>
    </row>
    <row r="565" spans="1:16" ht="15.75" thickBot="1" x14ac:dyDescent="0.3">
      <c r="A565" s="3">
        <v>46120</v>
      </c>
      <c r="B565" s="2" t="s">
        <v>56</v>
      </c>
      <c r="C565" s="2" t="s">
        <v>57</v>
      </c>
      <c r="D565" s="2" t="s">
        <v>63</v>
      </c>
      <c r="E565" s="2" t="s">
        <v>22</v>
      </c>
      <c r="F565" s="2">
        <v>1277955380444250</v>
      </c>
      <c r="G565" s="2">
        <v>1.2024270854698E+17</v>
      </c>
      <c r="H565" s="2">
        <v>1.2024270854697E+17</v>
      </c>
      <c r="I565" s="2">
        <v>1.2024294325528E+17</v>
      </c>
      <c r="J565" s="2" t="s">
        <v>23</v>
      </c>
      <c r="K565" s="4">
        <v>6903</v>
      </c>
      <c r="L565">
        <v>910</v>
      </c>
      <c r="M565">
        <v>1867.91</v>
      </c>
      <c r="N565">
        <f t="shared" si="24"/>
        <v>6213</v>
      </c>
      <c r="O565">
        <f t="shared" si="25"/>
        <v>2796</v>
      </c>
      <c r="P565" s="5">
        <f t="shared" si="26"/>
        <v>4556</v>
      </c>
    </row>
    <row r="566" spans="1:16" ht="15.75" thickBot="1" x14ac:dyDescent="0.3">
      <c r="A566" s="3">
        <v>46120</v>
      </c>
      <c r="B566" s="2" t="s">
        <v>56</v>
      </c>
      <c r="C566" s="2" t="s">
        <v>57</v>
      </c>
      <c r="D566" s="2" t="s">
        <v>63</v>
      </c>
      <c r="E566" s="2" t="s">
        <v>22</v>
      </c>
      <c r="F566" s="2">
        <v>1277955380444250</v>
      </c>
      <c r="G566" s="2">
        <v>1.2024270854698E+17</v>
      </c>
      <c r="H566" s="2">
        <v>1.2024270854697E+17</v>
      </c>
      <c r="I566" s="2">
        <v>1.2024294325528E+17</v>
      </c>
      <c r="J566" s="2" t="s">
        <v>24</v>
      </c>
      <c r="K566" s="4">
        <v>2251</v>
      </c>
      <c r="L566">
        <v>96</v>
      </c>
      <c r="M566">
        <v>1026.75</v>
      </c>
      <c r="N566">
        <f t="shared" si="24"/>
        <v>2026</v>
      </c>
      <c r="O566">
        <f t="shared" si="25"/>
        <v>912</v>
      </c>
      <c r="P566" s="5">
        <f t="shared" si="26"/>
        <v>1486</v>
      </c>
    </row>
    <row r="567" spans="1:16" ht="15.75" thickBot="1" x14ac:dyDescent="0.3">
      <c r="A567" s="3">
        <v>46121</v>
      </c>
      <c r="B567" s="2" t="s">
        <v>47</v>
      </c>
      <c r="C567" s="2" t="s">
        <v>48</v>
      </c>
      <c r="D567" s="2" t="s">
        <v>60</v>
      </c>
      <c r="E567" s="2" t="s">
        <v>22</v>
      </c>
      <c r="F567" s="2">
        <v>1277955380444250</v>
      </c>
      <c r="G567" s="2">
        <v>1.2024261720294E+17</v>
      </c>
      <c r="H567" s="2">
        <v>1.2024261720296E+17</v>
      </c>
      <c r="I567" s="2">
        <v>1.2024292195261E+17</v>
      </c>
      <c r="J567" s="2" t="s">
        <v>24</v>
      </c>
      <c r="K567" s="4">
        <v>1936</v>
      </c>
      <c r="L567">
        <v>757</v>
      </c>
      <c r="M567">
        <v>1348.32</v>
      </c>
      <c r="N567">
        <f t="shared" si="24"/>
        <v>1742</v>
      </c>
      <c r="O567">
        <f t="shared" si="25"/>
        <v>784</v>
      </c>
      <c r="P567" s="5">
        <f t="shared" si="26"/>
        <v>1278</v>
      </c>
    </row>
    <row r="568" spans="1:16" ht="15.75" thickBot="1" x14ac:dyDescent="0.3">
      <c r="A568" s="3">
        <v>46121</v>
      </c>
      <c r="B568" s="2" t="s">
        <v>25</v>
      </c>
      <c r="C568" s="2" t="s">
        <v>28</v>
      </c>
      <c r="D568" s="2" t="s">
        <v>69</v>
      </c>
      <c r="E568" s="2" t="s">
        <v>22</v>
      </c>
      <c r="F568" s="2">
        <v>1277955380444250</v>
      </c>
      <c r="G568" s="2">
        <v>1.2024231584645E+17</v>
      </c>
      <c r="H568" s="2">
        <v>1.2024231613167E+17</v>
      </c>
      <c r="I568" s="2">
        <v>1.2024321114399E+17</v>
      </c>
      <c r="J568" s="2" t="s">
        <v>24</v>
      </c>
      <c r="K568" s="4">
        <v>5990</v>
      </c>
      <c r="L568">
        <v>764</v>
      </c>
      <c r="M568">
        <v>1590.25</v>
      </c>
      <c r="N568">
        <f t="shared" si="24"/>
        <v>5391</v>
      </c>
      <c r="O568">
        <f t="shared" si="25"/>
        <v>2426</v>
      </c>
      <c r="P568" s="5">
        <f t="shared" si="26"/>
        <v>3953</v>
      </c>
    </row>
    <row r="569" spans="1:16" ht="15.75" thickBot="1" x14ac:dyDescent="0.3">
      <c r="A569" s="3"/>
      <c r="B569" s="2"/>
      <c r="C569" s="2"/>
      <c r="D569" s="2"/>
      <c r="E569" s="2"/>
      <c r="F569" s="2"/>
      <c r="G569" s="2"/>
      <c r="H569" s="2"/>
      <c r="I569" s="2"/>
      <c r="J569" s="2"/>
      <c r="P569" s="5"/>
    </row>
    <row r="570" spans="1:16" ht="15.75" thickBot="1" x14ac:dyDescent="0.3">
      <c r="A570" s="3"/>
      <c r="B570" s="2"/>
      <c r="C570" s="2"/>
      <c r="D570" s="2"/>
      <c r="E570" s="2"/>
      <c r="F570" s="2"/>
      <c r="G570" s="2"/>
      <c r="H570" s="2"/>
      <c r="I570" s="2"/>
      <c r="J570" s="2"/>
      <c r="P570" s="5"/>
    </row>
    <row r="571" spans="1:16" ht="15.75" thickBot="1" x14ac:dyDescent="0.3">
      <c r="A571" s="3"/>
      <c r="B571" s="2"/>
      <c r="C571" s="2"/>
      <c r="D571" s="2"/>
      <c r="E571" s="2"/>
      <c r="F571" s="2"/>
      <c r="G571" s="2"/>
      <c r="H571" s="2"/>
      <c r="I571" s="2"/>
      <c r="J571" s="2"/>
      <c r="P571" s="5"/>
    </row>
    <row r="572" spans="1:16" ht="15.75" thickBot="1" x14ac:dyDescent="0.3">
      <c r="A572" s="3"/>
      <c r="B572" s="2"/>
      <c r="C572" s="2"/>
      <c r="D572" s="2"/>
      <c r="E572" s="2"/>
      <c r="F572" s="2"/>
      <c r="G572" s="2"/>
      <c r="H572" s="2"/>
      <c r="I572" s="2"/>
      <c r="J572" s="2"/>
      <c r="P572" s="5"/>
    </row>
    <row r="573" spans="1:16" ht="15.75" thickBot="1" x14ac:dyDescent="0.3">
      <c r="A573" s="3"/>
      <c r="B573" s="2"/>
      <c r="C573" s="2"/>
      <c r="D573" s="2"/>
      <c r="E573" s="2"/>
      <c r="F573" s="2"/>
      <c r="G573" s="2"/>
      <c r="H573" s="2"/>
      <c r="I573" s="2"/>
      <c r="J573" s="2"/>
      <c r="P573" s="5"/>
    </row>
    <row r="574" spans="1:16" ht="15.75" thickBot="1" x14ac:dyDescent="0.3">
      <c r="A574" s="3"/>
      <c r="B574" s="2"/>
      <c r="C574" s="2"/>
      <c r="D574" s="2"/>
      <c r="E574" s="2"/>
      <c r="F574" s="2"/>
      <c r="G574" s="2"/>
      <c r="H574" s="2"/>
      <c r="I574" s="2"/>
      <c r="J574" s="2"/>
      <c r="P574" s="5"/>
    </row>
    <row r="575" spans="1:16" ht="15.75" thickBot="1" x14ac:dyDescent="0.3">
      <c r="A575" s="3"/>
      <c r="B575" s="2"/>
      <c r="C575" s="2"/>
      <c r="D575" s="2"/>
      <c r="E575" s="2"/>
      <c r="F575" s="2"/>
      <c r="G575" s="2"/>
      <c r="H575" s="2"/>
      <c r="I575" s="2"/>
      <c r="J575" s="2"/>
      <c r="P575" s="5"/>
    </row>
    <row r="576" spans="1:16" ht="15.75" thickBot="1" x14ac:dyDescent="0.3">
      <c r="A576" s="3"/>
      <c r="B576" s="2"/>
      <c r="C576" s="2"/>
      <c r="D576" s="2"/>
      <c r="E576" s="2"/>
      <c r="F576" s="2"/>
      <c r="G576" s="2"/>
      <c r="H576" s="2"/>
      <c r="I576" s="2"/>
      <c r="J576" s="2"/>
      <c r="P576" s="5"/>
    </row>
    <row r="577" spans="1:16" ht="15.75" thickBot="1" x14ac:dyDescent="0.3">
      <c r="A577" s="3"/>
      <c r="B577" s="2"/>
      <c r="C577" s="2"/>
      <c r="D577" s="2"/>
      <c r="E577" s="2"/>
      <c r="F577" s="2"/>
      <c r="G577" s="2"/>
      <c r="H577" s="2"/>
      <c r="I577" s="2"/>
      <c r="J577" s="2"/>
      <c r="P577" s="5"/>
    </row>
    <row r="578" spans="1:16" ht="15.75" thickBot="1" x14ac:dyDescent="0.3">
      <c r="A578" s="3"/>
      <c r="B578" s="2"/>
      <c r="C578" s="2"/>
      <c r="D578" s="2"/>
      <c r="E578" s="2"/>
      <c r="F578" s="2"/>
      <c r="G578" s="2"/>
      <c r="H578" s="2"/>
      <c r="I578" s="2"/>
      <c r="J578" s="2"/>
      <c r="P578" s="5"/>
    </row>
    <row r="579" spans="1:16" ht="15.75" thickBot="1" x14ac:dyDescent="0.3">
      <c r="A579" s="3"/>
      <c r="B579" s="2"/>
      <c r="C579" s="2"/>
      <c r="D579" s="2"/>
      <c r="E579" s="2"/>
      <c r="F579" s="2"/>
      <c r="G579" s="2"/>
      <c r="H579" s="2"/>
      <c r="I579" s="2"/>
      <c r="J579" s="2"/>
      <c r="P579" s="5"/>
    </row>
    <row r="580" spans="1:16" ht="15.75" thickBot="1" x14ac:dyDescent="0.3">
      <c r="A580" s="3"/>
      <c r="B580" s="2"/>
      <c r="C580" s="2"/>
      <c r="D580" s="2"/>
      <c r="E580" s="2"/>
      <c r="F580" s="2"/>
      <c r="G580" s="2"/>
      <c r="H580" s="2"/>
      <c r="I580" s="2"/>
      <c r="J580" s="2"/>
      <c r="P580" s="5"/>
    </row>
    <row r="581" spans="1:16" ht="15.75" thickBot="1" x14ac:dyDescent="0.3">
      <c r="A581" s="3"/>
      <c r="B581" s="2"/>
      <c r="C581" s="2"/>
      <c r="D581" s="2"/>
      <c r="E581" s="2"/>
      <c r="F581" s="2"/>
      <c r="G581" s="2"/>
      <c r="H581" s="2"/>
      <c r="I581" s="2"/>
      <c r="J581" s="2"/>
      <c r="P581" s="5"/>
    </row>
    <row r="582" spans="1:16" ht="15.75" thickBot="1" x14ac:dyDescent="0.3">
      <c r="A582" s="3"/>
      <c r="B582" s="2"/>
      <c r="C582" s="2"/>
      <c r="D582" s="2"/>
      <c r="E582" s="2"/>
      <c r="F582" s="2"/>
      <c r="G582" s="2"/>
      <c r="H582" s="2"/>
      <c r="I582" s="2"/>
      <c r="J582" s="2"/>
      <c r="P582" s="5"/>
    </row>
    <row r="583" spans="1:16" ht="15.75" thickBot="1" x14ac:dyDescent="0.3">
      <c r="A583" s="3"/>
      <c r="B583" s="2"/>
      <c r="C583" s="2"/>
      <c r="D583" s="2"/>
      <c r="E583" s="2"/>
      <c r="F583" s="2"/>
      <c r="G583" s="2"/>
      <c r="H583" s="2"/>
      <c r="I583" s="2"/>
      <c r="J583" s="2"/>
      <c r="P583" s="5"/>
    </row>
    <row r="584" spans="1:16" ht="15.75" thickBot="1" x14ac:dyDescent="0.3">
      <c r="A584" s="3"/>
      <c r="B584" s="2"/>
      <c r="C584" s="2"/>
      <c r="D584" s="2"/>
      <c r="E584" s="2"/>
      <c r="F584" s="2"/>
      <c r="G584" s="2"/>
      <c r="H584" s="2"/>
      <c r="I584" s="2"/>
      <c r="J584" s="2"/>
      <c r="P584" s="5"/>
    </row>
    <row r="585" spans="1:16" ht="15.75" thickBot="1" x14ac:dyDescent="0.3">
      <c r="A585" s="3"/>
      <c r="B585" s="2"/>
      <c r="C585" s="2"/>
      <c r="D585" s="2"/>
      <c r="E585" s="2"/>
      <c r="F585" s="2"/>
      <c r="G585" s="2"/>
      <c r="H585" s="2"/>
      <c r="I585" s="2"/>
      <c r="J585" s="2"/>
      <c r="P585" s="5"/>
    </row>
    <row r="586" spans="1:16" ht="15.75" thickBot="1" x14ac:dyDescent="0.3">
      <c r="A586" s="3"/>
      <c r="B586" s="2"/>
      <c r="C586" s="2"/>
      <c r="D586" s="2"/>
      <c r="E586" s="2"/>
      <c r="F586" s="2"/>
      <c r="G586" s="2"/>
      <c r="H586" s="2"/>
      <c r="I586" s="2"/>
      <c r="J586" s="2"/>
      <c r="P586" s="5"/>
    </row>
    <row r="587" spans="1:16" ht="15.75" thickBot="1" x14ac:dyDescent="0.3">
      <c r="A587" s="3"/>
      <c r="B587" s="2"/>
      <c r="C587" s="2"/>
      <c r="D587" s="2"/>
      <c r="E587" s="2"/>
      <c r="F587" s="2"/>
      <c r="G587" s="2"/>
      <c r="H587" s="2"/>
      <c r="I587" s="2"/>
      <c r="J587" s="2"/>
      <c r="P587" s="5"/>
    </row>
    <row r="588" spans="1:16" ht="15.75" thickBot="1" x14ac:dyDescent="0.3">
      <c r="A588" s="3"/>
      <c r="B588" s="2"/>
      <c r="C588" s="2"/>
      <c r="D588" s="2"/>
      <c r="E588" s="2"/>
      <c r="F588" s="2"/>
      <c r="G588" s="2"/>
      <c r="H588" s="2"/>
      <c r="I588" s="2"/>
      <c r="J588" s="2"/>
      <c r="P588" s="5"/>
    </row>
    <row r="589" spans="1:16" ht="15.75" thickBot="1" x14ac:dyDescent="0.3">
      <c r="A589" s="3"/>
      <c r="B589" s="2"/>
      <c r="C589" s="2"/>
      <c r="D589" s="2"/>
      <c r="E589" s="2"/>
      <c r="F589" s="2"/>
      <c r="G589" s="2"/>
      <c r="H589" s="2"/>
      <c r="I589" s="2"/>
      <c r="J589" s="2"/>
      <c r="P589" s="5"/>
    </row>
    <row r="590" spans="1:16" ht="15.75" thickBot="1" x14ac:dyDescent="0.3">
      <c r="A590" s="3"/>
      <c r="B590" s="2"/>
      <c r="C590" s="2"/>
      <c r="D590" s="2"/>
      <c r="E590" s="2"/>
      <c r="F590" s="2"/>
      <c r="G590" s="2"/>
      <c r="H590" s="2"/>
      <c r="I590" s="2"/>
      <c r="J590" s="2"/>
      <c r="P590" s="5"/>
    </row>
    <row r="591" spans="1:16" ht="15.75" thickBot="1" x14ac:dyDescent="0.3">
      <c r="A591" s="3"/>
      <c r="B591" s="2"/>
      <c r="C591" s="2"/>
      <c r="D591" s="2"/>
      <c r="E591" s="2"/>
      <c r="F591" s="2"/>
      <c r="G591" s="2"/>
      <c r="H591" s="2"/>
      <c r="I591" s="2"/>
      <c r="J591" s="2"/>
      <c r="P591" s="5"/>
    </row>
    <row r="592" spans="1:16" ht="15.75" thickBot="1" x14ac:dyDescent="0.3">
      <c r="A592" s="3"/>
      <c r="B592" s="2"/>
      <c r="C592" s="2"/>
      <c r="D592" s="2"/>
      <c r="E592" s="2"/>
      <c r="F592" s="2"/>
      <c r="G592" s="2"/>
      <c r="H592" s="2"/>
      <c r="I592" s="2"/>
      <c r="J592" s="2"/>
      <c r="P592" s="5"/>
    </row>
    <row r="593" spans="1:16" ht="15.75" thickBot="1" x14ac:dyDescent="0.3">
      <c r="A593" s="3"/>
      <c r="B593" s="2"/>
      <c r="C593" s="2"/>
      <c r="D593" s="2"/>
      <c r="E593" s="2"/>
      <c r="F593" s="2"/>
      <c r="G593" s="2"/>
      <c r="H593" s="2"/>
      <c r="I593" s="2"/>
      <c r="J593" s="2"/>
      <c r="P593" s="5"/>
    </row>
    <row r="594" spans="1:16" ht="15.75" thickBot="1" x14ac:dyDescent="0.3">
      <c r="A594" s="3"/>
      <c r="B594" s="2"/>
      <c r="C594" s="2"/>
      <c r="D594" s="2"/>
      <c r="E594" s="2"/>
      <c r="F594" s="2"/>
      <c r="G594" s="2"/>
      <c r="H594" s="2"/>
      <c r="I594" s="2"/>
      <c r="J594" s="2"/>
      <c r="P594" s="5"/>
    </row>
    <row r="595" spans="1:16" ht="15.75" thickBot="1" x14ac:dyDescent="0.3">
      <c r="A595" s="3"/>
      <c r="B595" s="2"/>
      <c r="C595" s="2"/>
      <c r="D595" s="2"/>
      <c r="E595" s="2"/>
      <c r="F595" s="2"/>
      <c r="G595" s="2"/>
      <c r="H595" s="2"/>
      <c r="I595" s="2"/>
      <c r="J595" s="2"/>
      <c r="P595" s="5"/>
    </row>
    <row r="596" spans="1:16" ht="15.75" thickBot="1" x14ac:dyDescent="0.3">
      <c r="A596" s="3"/>
      <c r="B596" s="2"/>
      <c r="C596" s="2"/>
      <c r="D596" s="2"/>
      <c r="E596" s="2"/>
      <c r="F596" s="2"/>
      <c r="G596" s="2"/>
      <c r="H596" s="2"/>
      <c r="I596" s="2"/>
      <c r="J596" s="2"/>
      <c r="P596" s="5"/>
    </row>
    <row r="597" spans="1:16" ht="15.75" thickBot="1" x14ac:dyDescent="0.3">
      <c r="A597" s="3"/>
      <c r="B597" s="2"/>
      <c r="C597" s="2"/>
      <c r="D597" s="2"/>
      <c r="E597" s="2"/>
      <c r="F597" s="2"/>
      <c r="G597" s="2"/>
      <c r="H597" s="2"/>
      <c r="I597" s="2"/>
      <c r="J597" s="2"/>
      <c r="P597" s="5"/>
    </row>
    <row r="598" spans="1:16" ht="15.75" thickBot="1" x14ac:dyDescent="0.3">
      <c r="A598" s="3"/>
      <c r="B598" s="2"/>
      <c r="C598" s="2"/>
      <c r="D598" s="2"/>
      <c r="E598" s="2"/>
      <c r="F598" s="2"/>
      <c r="G598" s="2"/>
      <c r="H598" s="2"/>
      <c r="I598" s="2"/>
      <c r="J598" s="2"/>
      <c r="P598" s="5"/>
    </row>
    <row r="599" spans="1:16" ht="15.75" thickBot="1" x14ac:dyDescent="0.3">
      <c r="A599" s="3"/>
      <c r="B599" s="2"/>
      <c r="C599" s="2"/>
      <c r="D599" s="2"/>
      <c r="E599" s="2"/>
      <c r="F599" s="2"/>
      <c r="G599" s="2"/>
      <c r="H599" s="2"/>
      <c r="I599" s="2"/>
      <c r="J599" s="2"/>
      <c r="P599" s="5"/>
    </row>
    <row r="600" spans="1:16" ht="15.75" thickBot="1" x14ac:dyDescent="0.3">
      <c r="A600" s="3"/>
      <c r="B600" s="2"/>
      <c r="C600" s="2"/>
      <c r="D600" s="2"/>
      <c r="E600" s="2"/>
      <c r="F600" s="2"/>
      <c r="G600" s="2"/>
      <c r="H600" s="2"/>
      <c r="I600" s="2"/>
      <c r="J600" s="2"/>
      <c r="P600" s="5"/>
    </row>
    <row r="601" spans="1:16" ht="15.75" thickBot="1" x14ac:dyDescent="0.3">
      <c r="A601" s="3"/>
      <c r="B601" s="2"/>
      <c r="C601" s="2"/>
      <c r="D601" s="2"/>
      <c r="E601" s="2"/>
      <c r="F601" s="2"/>
      <c r="G601" s="2"/>
      <c r="H601" s="2"/>
      <c r="I601" s="2"/>
      <c r="J601" s="2"/>
      <c r="P601" s="5"/>
    </row>
    <row r="602" spans="1:16" ht="15.75" thickBot="1" x14ac:dyDescent="0.3">
      <c r="A602" s="3"/>
      <c r="B602" s="2"/>
      <c r="C602" s="2"/>
      <c r="D602" s="2"/>
      <c r="E602" s="2"/>
      <c r="F602" s="2"/>
      <c r="G602" s="2"/>
      <c r="H602" s="2"/>
      <c r="I602" s="2"/>
      <c r="J602" s="2"/>
      <c r="P602" s="5"/>
    </row>
    <row r="603" spans="1:16" ht="15.75" thickBot="1" x14ac:dyDescent="0.3">
      <c r="A603" s="3"/>
      <c r="B603" s="2"/>
      <c r="C603" s="2"/>
      <c r="D603" s="2"/>
      <c r="E603" s="2"/>
      <c r="F603" s="2"/>
      <c r="G603" s="2"/>
      <c r="H603" s="2"/>
      <c r="I603" s="2"/>
      <c r="J603" s="2"/>
      <c r="P603" s="5"/>
    </row>
    <row r="604" spans="1:16" ht="15.75" thickBot="1" x14ac:dyDescent="0.3">
      <c r="A604" s="3"/>
      <c r="B604" s="2"/>
      <c r="C604" s="2"/>
      <c r="D604" s="2"/>
      <c r="E604" s="2"/>
      <c r="F604" s="2"/>
      <c r="G604" s="2"/>
      <c r="H604" s="2"/>
      <c r="I604" s="2"/>
      <c r="J604" s="2"/>
      <c r="P604" s="5"/>
    </row>
    <row r="605" spans="1:16" ht="15.75" thickBot="1" x14ac:dyDescent="0.3">
      <c r="A605" s="3"/>
      <c r="B605" s="2"/>
      <c r="C605" s="2"/>
      <c r="D605" s="2"/>
      <c r="E605" s="2"/>
      <c r="F605" s="2"/>
      <c r="G605" s="2"/>
      <c r="H605" s="2"/>
      <c r="I605" s="2"/>
      <c r="J605" s="2"/>
      <c r="P605" s="5"/>
    </row>
    <row r="606" spans="1:16" ht="15.75" thickBot="1" x14ac:dyDescent="0.3">
      <c r="A606" s="3"/>
      <c r="B606" s="2"/>
      <c r="C606" s="2"/>
      <c r="D606" s="2"/>
      <c r="E606" s="2"/>
      <c r="F606" s="2"/>
      <c r="G606" s="2"/>
      <c r="H606" s="2"/>
      <c r="I606" s="2"/>
      <c r="J606" s="2"/>
      <c r="P606" s="5"/>
    </row>
    <row r="607" spans="1:16" ht="15.75" thickBot="1" x14ac:dyDescent="0.3">
      <c r="A607" s="3"/>
      <c r="B607" s="2"/>
      <c r="C607" s="2"/>
      <c r="D607" s="2"/>
      <c r="E607" s="2"/>
      <c r="F607" s="2"/>
      <c r="G607" s="2"/>
      <c r="H607" s="2"/>
      <c r="I607" s="2"/>
      <c r="J607" s="2"/>
      <c r="P607" s="5"/>
    </row>
    <row r="608" spans="1:16" ht="15.75" thickBot="1" x14ac:dyDescent="0.3">
      <c r="A608" s="3"/>
      <c r="B608" s="2"/>
      <c r="C608" s="2"/>
      <c r="D608" s="2"/>
      <c r="E608" s="2"/>
      <c r="F608" s="2"/>
      <c r="G608" s="2"/>
      <c r="H608" s="2"/>
      <c r="I608" s="2"/>
      <c r="J608" s="2"/>
      <c r="P608" s="5"/>
    </row>
    <row r="609" spans="1:16" ht="15.75" thickBot="1" x14ac:dyDescent="0.3">
      <c r="A609" s="3"/>
      <c r="B609" s="2"/>
      <c r="C609" s="2"/>
      <c r="D609" s="2"/>
      <c r="E609" s="2"/>
      <c r="F609" s="2"/>
      <c r="G609" s="2"/>
      <c r="H609" s="2"/>
      <c r="I609" s="2"/>
      <c r="J609" s="2"/>
      <c r="P609" s="5"/>
    </row>
    <row r="610" spans="1:16" ht="15.75" thickBot="1" x14ac:dyDescent="0.3">
      <c r="A610" s="3"/>
      <c r="B610" s="2"/>
      <c r="C610" s="2"/>
      <c r="D610" s="2"/>
      <c r="E610" s="2"/>
      <c r="F610" s="2"/>
      <c r="G610" s="2"/>
      <c r="H610" s="2"/>
      <c r="I610" s="2"/>
      <c r="J610" s="2"/>
      <c r="P610" s="5"/>
    </row>
    <row r="611" spans="1:16" ht="15.75" thickBot="1" x14ac:dyDescent="0.3">
      <c r="A611" s="3"/>
      <c r="B611" s="2"/>
      <c r="C611" s="2"/>
      <c r="D611" s="2"/>
      <c r="E611" s="2"/>
      <c r="F611" s="2"/>
      <c r="G611" s="2"/>
      <c r="H611" s="2"/>
      <c r="I611" s="2"/>
      <c r="J611" s="2"/>
      <c r="P611" s="5"/>
    </row>
    <row r="612" spans="1:16" ht="15.75" thickBot="1" x14ac:dyDescent="0.3">
      <c r="A612" s="3"/>
      <c r="B612" s="2"/>
      <c r="C612" s="2"/>
      <c r="D612" s="2"/>
      <c r="E612" s="2"/>
      <c r="F612" s="2"/>
      <c r="G612" s="2"/>
      <c r="H612" s="2"/>
      <c r="I612" s="2"/>
      <c r="J612" s="2"/>
      <c r="P612" s="5"/>
    </row>
    <row r="613" spans="1:16" ht="15.75" thickBot="1" x14ac:dyDescent="0.3">
      <c r="A613" s="3"/>
      <c r="B613" s="2"/>
      <c r="C613" s="2"/>
      <c r="D613" s="2"/>
      <c r="E613" s="2"/>
      <c r="F613" s="2"/>
      <c r="G613" s="2"/>
      <c r="H613" s="2"/>
      <c r="I613" s="2"/>
      <c r="J613" s="2"/>
      <c r="P613" s="5"/>
    </row>
    <row r="614" spans="1:16" ht="15.75" thickBot="1" x14ac:dyDescent="0.3">
      <c r="A614" s="3"/>
      <c r="B614" s="2"/>
      <c r="C614" s="2"/>
      <c r="D614" s="2"/>
      <c r="E614" s="2"/>
      <c r="F614" s="2"/>
      <c r="G614" s="2"/>
      <c r="H614" s="2"/>
      <c r="I614" s="2"/>
      <c r="J614" s="2"/>
      <c r="P614" s="5"/>
    </row>
    <row r="615" spans="1:16" ht="15.75" thickBot="1" x14ac:dyDescent="0.3">
      <c r="A615" s="3"/>
      <c r="B615" s="2"/>
      <c r="C615" s="2"/>
      <c r="D615" s="2"/>
      <c r="E615" s="2"/>
      <c r="F615" s="2"/>
      <c r="G615" s="2"/>
      <c r="H615" s="2"/>
      <c r="I615" s="2"/>
      <c r="J615" s="2"/>
      <c r="P615" s="5"/>
    </row>
    <row r="616" spans="1:16" ht="15.75" thickBot="1" x14ac:dyDescent="0.3">
      <c r="A616" s="3"/>
      <c r="B616" s="2"/>
      <c r="C616" s="2"/>
      <c r="D616" s="2"/>
      <c r="E616" s="2"/>
      <c r="F616" s="2"/>
      <c r="G616" s="2"/>
      <c r="H616" s="2"/>
      <c r="I616" s="2"/>
      <c r="J616" s="2"/>
      <c r="P616" s="5"/>
    </row>
    <row r="617" spans="1:16" ht="15.75" thickBot="1" x14ac:dyDescent="0.3">
      <c r="A617" s="3"/>
      <c r="B617" s="2"/>
      <c r="C617" s="2"/>
      <c r="D617" s="2"/>
      <c r="E617" s="2"/>
      <c r="F617" s="2"/>
      <c r="G617" s="2"/>
      <c r="H617" s="2"/>
      <c r="I617" s="2"/>
      <c r="J617" s="2"/>
      <c r="P617" s="5"/>
    </row>
    <row r="618" spans="1:16" ht="15.75" thickBot="1" x14ac:dyDescent="0.3">
      <c r="A618" s="3"/>
      <c r="B618" s="2"/>
      <c r="C618" s="2"/>
      <c r="D618" s="2"/>
      <c r="E618" s="2"/>
      <c r="F618" s="2"/>
      <c r="G618" s="2"/>
      <c r="H618" s="2"/>
      <c r="I618" s="2"/>
      <c r="J618" s="2"/>
      <c r="P618" s="5"/>
    </row>
    <row r="619" spans="1:16" ht="15.75" thickBot="1" x14ac:dyDescent="0.3">
      <c r="A619" s="3"/>
      <c r="B619" s="2"/>
      <c r="C619" s="2"/>
      <c r="D619" s="2"/>
      <c r="E619" s="2"/>
      <c r="F619" s="2"/>
      <c r="G619" s="2"/>
      <c r="H619" s="2"/>
      <c r="I619" s="2"/>
      <c r="J619" s="2"/>
      <c r="P619" s="5"/>
    </row>
    <row r="620" spans="1:16" ht="15.75" thickBot="1" x14ac:dyDescent="0.3">
      <c r="A620" s="3"/>
      <c r="B620" s="2"/>
      <c r="C620" s="2"/>
      <c r="D620" s="2"/>
      <c r="E620" s="2"/>
      <c r="F620" s="2"/>
      <c r="G620" s="2"/>
      <c r="H620" s="2"/>
      <c r="I620" s="2"/>
      <c r="J620" s="2"/>
      <c r="P620" s="5"/>
    </row>
    <row r="621" spans="1:16" ht="15.75" thickBot="1" x14ac:dyDescent="0.3">
      <c r="A621" s="3"/>
      <c r="B621" s="2"/>
      <c r="C621" s="2"/>
      <c r="D621" s="2"/>
      <c r="E621" s="2"/>
      <c r="F621" s="2"/>
      <c r="G621" s="2"/>
      <c r="H621" s="2"/>
      <c r="I621" s="2"/>
      <c r="J621" s="2"/>
      <c r="P621" s="5"/>
    </row>
    <row r="622" spans="1:16" ht="15.75" thickBot="1" x14ac:dyDescent="0.3">
      <c r="A622" s="3"/>
      <c r="B622" s="2"/>
      <c r="C622" s="2"/>
      <c r="D622" s="2"/>
      <c r="E622" s="2"/>
      <c r="F622" s="2"/>
      <c r="G622" s="2"/>
      <c r="H622" s="2"/>
      <c r="I622" s="2"/>
      <c r="J622" s="2"/>
      <c r="P622" s="5"/>
    </row>
    <row r="623" spans="1:16" ht="15.75" thickBot="1" x14ac:dyDescent="0.3">
      <c r="A623" s="3"/>
      <c r="B623" s="2"/>
      <c r="C623" s="2"/>
      <c r="D623" s="2"/>
      <c r="E623" s="2"/>
      <c r="F623" s="2"/>
      <c r="G623" s="2"/>
      <c r="H623" s="2"/>
      <c r="I623" s="2"/>
      <c r="J623" s="2"/>
      <c r="P623" s="5"/>
    </row>
    <row r="624" spans="1:16" ht="15.75" thickBot="1" x14ac:dyDescent="0.3">
      <c r="A624" s="3"/>
      <c r="B624" s="2"/>
      <c r="C624" s="2"/>
      <c r="D624" s="2"/>
      <c r="E624" s="2"/>
      <c r="F624" s="2"/>
      <c r="G624" s="2"/>
      <c r="H624" s="2"/>
      <c r="I624" s="2"/>
      <c r="J624" s="2"/>
      <c r="P624" s="5"/>
    </row>
    <row r="625" spans="1:16" ht="15.75" thickBot="1" x14ac:dyDescent="0.3">
      <c r="A625" s="3"/>
      <c r="B625" s="2"/>
      <c r="C625" s="2"/>
      <c r="D625" s="2"/>
      <c r="E625" s="2"/>
      <c r="F625" s="2"/>
      <c r="G625" s="2"/>
      <c r="H625" s="2"/>
      <c r="I625" s="2"/>
      <c r="J625" s="2"/>
      <c r="P625" s="5"/>
    </row>
    <row r="626" spans="1:16" ht="15.75" thickBot="1" x14ac:dyDescent="0.3">
      <c r="A626" s="3"/>
      <c r="B626" s="2"/>
      <c r="C626" s="2"/>
      <c r="D626" s="2"/>
      <c r="E626" s="2"/>
      <c r="F626" s="2"/>
      <c r="G626" s="2"/>
      <c r="H626" s="2"/>
      <c r="I626" s="2"/>
      <c r="J626" s="2"/>
      <c r="P626" s="5"/>
    </row>
    <row r="627" spans="1:16" ht="15.75" thickBot="1" x14ac:dyDescent="0.3">
      <c r="A627" s="3"/>
      <c r="B627" s="2"/>
      <c r="C627" s="2"/>
      <c r="D627" s="2"/>
      <c r="E627" s="2"/>
      <c r="F627" s="2"/>
      <c r="G627" s="2"/>
      <c r="H627" s="2"/>
      <c r="I627" s="2"/>
      <c r="J627" s="2"/>
      <c r="P627" s="5"/>
    </row>
    <row r="628" spans="1:16" ht="15.75" thickBot="1" x14ac:dyDescent="0.3">
      <c r="A628" s="3"/>
      <c r="B628" s="2"/>
      <c r="C628" s="2"/>
      <c r="D628" s="2"/>
      <c r="E628" s="2"/>
      <c r="F628" s="2"/>
      <c r="G628" s="2"/>
      <c r="H628" s="2"/>
      <c r="I628" s="2"/>
      <c r="J628" s="2"/>
      <c r="P628" s="5"/>
    </row>
    <row r="629" spans="1:16" ht="15.75" thickBot="1" x14ac:dyDescent="0.3">
      <c r="A629" s="3"/>
      <c r="B629" s="2"/>
      <c r="C629" s="2"/>
      <c r="D629" s="2"/>
      <c r="E629" s="2"/>
      <c r="F629" s="2"/>
      <c r="G629" s="2"/>
      <c r="H629" s="2"/>
      <c r="I629" s="2"/>
      <c r="J629" s="2"/>
      <c r="P629" s="5"/>
    </row>
    <row r="630" spans="1:16" ht="15.75" thickBot="1" x14ac:dyDescent="0.3">
      <c r="A630" s="3"/>
      <c r="B630" s="2"/>
      <c r="C630" s="2"/>
      <c r="D630" s="2"/>
      <c r="E630" s="2"/>
      <c r="F630" s="2"/>
      <c r="G630" s="2"/>
      <c r="H630" s="2"/>
      <c r="I630" s="2"/>
      <c r="J630" s="2"/>
      <c r="P630" s="5"/>
    </row>
    <row r="631" spans="1:16" ht="15.75" thickBot="1" x14ac:dyDescent="0.3">
      <c r="A631" s="3"/>
      <c r="B631" s="2"/>
      <c r="C631" s="2"/>
      <c r="D631" s="2"/>
      <c r="E631" s="2"/>
      <c r="F631" s="2"/>
      <c r="G631" s="2"/>
      <c r="H631" s="2"/>
      <c r="I631" s="2"/>
      <c r="J631" s="2"/>
      <c r="P631" s="5"/>
    </row>
    <row r="632" spans="1:16" ht="15.75" thickBot="1" x14ac:dyDescent="0.3">
      <c r="A632" s="3"/>
      <c r="B632" s="2"/>
      <c r="C632" s="2"/>
      <c r="D632" s="2"/>
      <c r="E632" s="2"/>
      <c r="F632" s="2"/>
      <c r="G632" s="2"/>
      <c r="H632" s="2"/>
      <c r="I632" s="2"/>
      <c r="J632" s="2"/>
      <c r="P632" s="5"/>
    </row>
    <row r="633" spans="1:16" ht="15.75" thickBot="1" x14ac:dyDescent="0.3">
      <c r="A633" s="3"/>
      <c r="B633" s="2"/>
      <c r="C633" s="2"/>
      <c r="D633" s="2"/>
      <c r="E633" s="2"/>
      <c r="F633" s="2"/>
      <c r="G633" s="2"/>
      <c r="H633" s="2"/>
      <c r="I633" s="2"/>
      <c r="J633" s="2"/>
      <c r="P633" s="5"/>
    </row>
    <row r="634" spans="1:16" ht="15.75" thickBot="1" x14ac:dyDescent="0.3">
      <c r="A634" s="3"/>
      <c r="B634" s="2"/>
      <c r="C634" s="2"/>
      <c r="D634" s="2"/>
      <c r="E634" s="2"/>
      <c r="F634" s="2"/>
      <c r="G634" s="2"/>
      <c r="H634" s="2"/>
      <c r="I634" s="2"/>
      <c r="J634" s="2"/>
      <c r="P634" s="5"/>
    </row>
    <row r="635" spans="1:16" ht="15.75" thickBot="1" x14ac:dyDescent="0.3">
      <c r="A635" s="3"/>
      <c r="B635" s="2"/>
      <c r="C635" s="2"/>
      <c r="D635" s="2"/>
      <c r="E635" s="2"/>
      <c r="F635" s="2"/>
      <c r="G635" s="2"/>
      <c r="H635" s="2"/>
      <c r="I635" s="2"/>
      <c r="J635" s="2"/>
      <c r="P635" s="5"/>
    </row>
    <row r="636" spans="1:16" ht="15.75" thickBot="1" x14ac:dyDescent="0.3">
      <c r="A636" s="3"/>
      <c r="B636" s="2"/>
      <c r="C636" s="2"/>
      <c r="D636" s="2"/>
      <c r="E636" s="2"/>
      <c r="F636" s="2"/>
      <c r="G636" s="2"/>
      <c r="H636" s="2"/>
      <c r="I636" s="2"/>
      <c r="J636" s="2"/>
      <c r="P636" s="5"/>
    </row>
    <row r="637" spans="1:16" ht="15.75" thickBot="1" x14ac:dyDescent="0.3">
      <c r="A637" s="3"/>
      <c r="B637" s="2"/>
      <c r="C637" s="2"/>
      <c r="D637" s="2"/>
      <c r="E637" s="2"/>
      <c r="F637" s="2"/>
      <c r="G637" s="2"/>
      <c r="H637" s="2"/>
      <c r="I637" s="2"/>
      <c r="J637" s="2"/>
      <c r="P637" s="5"/>
    </row>
    <row r="638" spans="1:16" ht="15.75" thickBot="1" x14ac:dyDescent="0.3">
      <c r="A638" s="3"/>
      <c r="B638" s="2"/>
      <c r="C638" s="2"/>
      <c r="D638" s="2"/>
      <c r="E638" s="2"/>
      <c r="F638" s="2"/>
      <c r="G638" s="2"/>
      <c r="H638" s="2"/>
      <c r="I638" s="2"/>
      <c r="J638" s="2"/>
      <c r="P638" s="5"/>
    </row>
    <row r="639" spans="1:16" ht="15.75" thickBot="1" x14ac:dyDescent="0.3">
      <c r="A639" s="3"/>
      <c r="B639" s="2"/>
      <c r="C639" s="2"/>
      <c r="D639" s="2"/>
      <c r="E639" s="2"/>
      <c r="F639" s="2"/>
      <c r="G639" s="2"/>
      <c r="H639" s="2"/>
      <c r="I639" s="2"/>
      <c r="J639" s="2"/>
      <c r="P639" s="5"/>
    </row>
    <row r="640" spans="1:16" ht="15.75" thickBot="1" x14ac:dyDescent="0.3">
      <c r="A640" s="3"/>
      <c r="B640" s="2"/>
      <c r="C640" s="2"/>
      <c r="D640" s="2"/>
      <c r="E640" s="2"/>
      <c r="F640" s="2"/>
      <c r="G640" s="2"/>
      <c r="H640" s="2"/>
      <c r="I640" s="2"/>
      <c r="J640" s="2"/>
      <c r="P640" s="5"/>
    </row>
    <row r="641" spans="1:16" ht="15.75" thickBot="1" x14ac:dyDescent="0.3">
      <c r="A641" s="3"/>
      <c r="B641" s="2"/>
      <c r="C641" s="2"/>
      <c r="D641" s="2"/>
      <c r="E641" s="2"/>
      <c r="F641" s="2"/>
      <c r="G641" s="2"/>
      <c r="H641" s="2"/>
      <c r="I641" s="2"/>
      <c r="J641" s="2"/>
      <c r="P641" s="5"/>
    </row>
    <row r="642" spans="1:16" ht="15.75" thickBot="1" x14ac:dyDescent="0.3">
      <c r="A642" s="3"/>
      <c r="B642" s="2"/>
      <c r="C642" s="2"/>
      <c r="D642" s="2"/>
      <c r="E642" s="2"/>
      <c r="F642" s="2"/>
      <c r="G642" s="2"/>
      <c r="H642" s="2"/>
      <c r="I642" s="2"/>
      <c r="J642" s="2"/>
      <c r="P642" s="5"/>
    </row>
    <row r="643" spans="1:16" ht="15.75" thickBot="1" x14ac:dyDescent="0.3">
      <c r="A643" s="3"/>
      <c r="B643" s="2"/>
      <c r="C643" s="2"/>
      <c r="D643" s="2"/>
      <c r="E643" s="2"/>
      <c r="F643" s="2"/>
      <c r="G643" s="2"/>
      <c r="H643" s="2"/>
      <c r="I643" s="2"/>
      <c r="J643" s="2"/>
      <c r="P643" s="5"/>
    </row>
    <row r="644" spans="1:16" ht="15.75" thickBot="1" x14ac:dyDescent="0.3">
      <c r="A644" s="3"/>
      <c r="B644" s="2"/>
      <c r="C644" s="2"/>
      <c r="D644" s="2"/>
      <c r="E644" s="2"/>
      <c r="F644" s="2"/>
      <c r="G644" s="2"/>
      <c r="H644" s="2"/>
      <c r="I644" s="2"/>
      <c r="J644" s="2"/>
      <c r="P644" s="5"/>
    </row>
    <row r="645" spans="1:16" ht="15.75" thickBot="1" x14ac:dyDescent="0.3">
      <c r="A645" s="3"/>
      <c r="B645" s="2"/>
      <c r="C645" s="2"/>
      <c r="D645" s="2"/>
      <c r="E645" s="2"/>
      <c r="F645" s="2"/>
      <c r="G645" s="2"/>
      <c r="H645" s="2"/>
      <c r="I645" s="2"/>
      <c r="J645" s="2"/>
      <c r="P645" s="5"/>
    </row>
    <row r="646" spans="1:16" ht="15.75" thickBot="1" x14ac:dyDescent="0.3">
      <c r="A646" s="3"/>
      <c r="B646" s="2"/>
      <c r="C646" s="2"/>
      <c r="D646" s="2"/>
      <c r="E646" s="2"/>
      <c r="F646" s="2"/>
      <c r="G646" s="2"/>
      <c r="H646" s="2"/>
      <c r="I646" s="2"/>
      <c r="J646" s="2"/>
      <c r="P646" s="5"/>
    </row>
    <row r="647" spans="1:16" ht="15.75" thickBot="1" x14ac:dyDescent="0.3">
      <c r="A647" s="3"/>
      <c r="B647" s="2"/>
      <c r="C647" s="2"/>
      <c r="D647" s="2"/>
      <c r="E647" s="2"/>
      <c r="F647" s="2"/>
      <c r="G647" s="2"/>
      <c r="H647" s="2"/>
      <c r="I647" s="2"/>
      <c r="J647" s="2"/>
      <c r="P647" s="5"/>
    </row>
    <row r="648" spans="1:16" ht="15.75" thickBot="1" x14ac:dyDescent="0.3">
      <c r="A648" s="3"/>
      <c r="B648" s="2"/>
      <c r="C648" s="2"/>
      <c r="D648" s="2"/>
      <c r="E648" s="2"/>
      <c r="F648" s="2"/>
      <c r="G648" s="2"/>
      <c r="H648" s="2"/>
      <c r="I648" s="2"/>
      <c r="J648" s="2"/>
      <c r="P648" s="5"/>
    </row>
    <row r="649" spans="1:16" ht="15.75" thickBot="1" x14ac:dyDescent="0.3">
      <c r="A649" s="3"/>
      <c r="B649" s="2"/>
      <c r="C649" s="2"/>
      <c r="D649" s="2"/>
      <c r="E649" s="2"/>
      <c r="F649" s="2"/>
      <c r="G649" s="2"/>
      <c r="H649" s="2"/>
      <c r="I649" s="2"/>
      <c r="J649" s="2"/>
      <c r="P649" s="5"/>
    </row>
    <row r="650" spans="1:16" ht="15.75" thickBot="1" x14ac:dyDescent="0.3">
      <c r="A650" s="3"/>
      <c r="B650" s="2"/>
      <c r="C650" s="2"/>
      <c r="D650" s="2"/>
      <c r="E650" s="2"/>
      <c r="F650" s="2"/>
      <c r="G650" s="2"/>
      <c r="H650" s="2"/>
      <c r="I650" s="2"/>
      <c r="J650" s="2"/>
      <c r="P650" s="5"/>
    </row>
    <row r="651" spans="1:16" ht="15.75" thickBot="1" x14ac:dyDescent="0.3">
      <c r="A651" s="3"/>
      <c r="B651" s="2"/>
      <c r="C651" s="2"/>
      <c r="D651" s="2"/>
      <c r="E651" s="2"/>
      <c r="F651" s="2"/>
      <c r="G651" s="2"/>
      <c r="H651" s="2"/>
      <c r="I651" s="2"/>
      <c r="J651" s="2"/>
      <c r="P651" s="5"/>
    </row>
    <row r="652" spans="1:16" ht="15.75" thickBot="1" x14ac:dyDescent="0.3">
      <c r="A652" s="3"/>
      <c r="B652" s="2"/>
      <c r="C652" s="2"/>
      <c r="D652" s="2"/>
      <c r="E652" s="2"/>
      <c r="F652" s="2"/>
      <c r="G652" s="2"/>
      <c r="H652" s="2"/>
      <c r="I652" s="2"/>
      <c r="J652" s="2"/>
      <c r="P652" s="5"/>
    </row>
    <row r="653" spans="1:16" ht="15.75" thickBot="1" x14ac:dyDescent="0.3">
      <c r="A653" s="3"/>
      <c r="B653" s="2"/>
      <c r="C653" s="2"/>
      <c r="D653" s="2"/>
      <c r="E653" s="2"/>
      <c r="F653" s="2"/>
      <c r="G653" s="2"/>
      <c r="H653" s="2"/>
      <c r="I653" s="2"/>
      <c r="J653" s="2"/>
      <c r="P653" s="5"/>
    </row>
    <row r="654" spans="1:16" ht="15.75" thickBot="1" x14ac:dyDescent="0.3">
      <c r="A654" s="3"/>
      <c r="B654" s="2"/>
      <c r="C654" s="2"/>
      <c r="D654" s="2"/>
      <c r="E654" s="2"/>
      <c r="F654" s="2"/>
      <c r="G654" s="2"/>
      <c r="H654" s="2"/>
      <c r="I654" s="2"/>
      <c r="J654" s="2"/>
      <c r="P654" s="5"/>
    </row>
    <row r="655" spans="1:16" ht="15.75" thickBot="1" x14ac:dyDescent="0.3">
      <c r="A655" s="3"/>
      <c r="B655" s="2"/>
      <c r="C655" s="2"/>
      <c r="D655" s="2"/>
      <c r="E655" s="2"/>
      <c r="F655" s="2"/>
      <c r="G655" s="2"/>
      <c r="H655" s="2"/>
      <c r="I655" s="2"/>
      <c r="J655" s="2"/>
      <c r="P655" s="5"/>
    </row>
    <row r="656" spans="1:16" ht="15.75" thickBot="1" x14ac:dyDescent="0.3">
      <c r="A656" s="3"/>
      <c r="B656" s="2"/>
      <c r="C656" s="2"/>
      <c r="D656" s="2"/>
      <c r="E656" s="2"/>
      <c r="F656" s="2"/>
      <c r="G656" s="2"/>
      <c r="H656" s="2"/>
      <c r="I656" s="2"/>
      <c r="J656" s="2"/>
      <c r="P656" s="5"/>
    </row>
    <row r="657" spans="1:16" ht="15.75" thickBot="1" x14ac:dyDescent="0.3">
      <c r="A657" s="3"/>
      <c r="B657" s="2"/>
      <c r="C657" s="2"/>
      <c r="D657" s="2"/>
      <c r="E657" s="2"/>
      <c r="F657" s="2"/>
      <c r="G657" s="2"/>
      <c r="H657" s="2"/>
      <c r="I657" s="2"/>
      <c r="J657" s="2"/>
      <c r="P657" s="5"/>
    </row>
    <row r="658" spans="1:16" ht="15.75" thickBot="1" x14ac:dyDescent="0.3">
      <c r="A658" s="3"/>
      <c r="B658" s="2"/>
      <c r="C658" s="2"/>
      <c r="D658" s="2"/>
      <c r="E658" s="2"/>
      <c r="F658" s="2"/>
      <c r="G658" s="2"/>
      <c r="H658" s="2"/>
      <c r="I658" s="2"/>
      <c r="J658" s="2"/>
      <c r="P658" s="5"/>
    </row>
    <row r="659" spans="1:16" ht="15.75" thickBot="1" x14ac:dyDescent="0.3">
      <c r="A659" s="3"/>
      <c r="B659" s="2"/>
      <c r="C659" s="2"/>
      <c r="D659" s="2"/>
      <c r="E659" s="2"/>
      <c r="F659" s="2"/>
      <c r="G659" s="2"/>
      <c r="H659" s="2"/>
      <c r="I659" s="2"/>
      <c r="J659" s="2"/>
      <c r="P659" s="5"/>
    </row>
    <row r="660" spans="1:16" ht="15.75" thickBot="1" x14ac:dyDescent="0.3">
      <c r="A660" s="3"/>
      <c r="B660" s="2"/>
      <c r="C660" s="2"/>
      <c r="D660" s="2"/>
      <c r="E660" s="2"/>
      <c r="F660" s="2"/>
      <c r="G660" s="2"/>
      <c r="H660" s="2"/>
      <c r="I660" s="2"/>
      <c r="J660" s="2"/>
      <c r="P660" s="5"/>
    </row>
    <row r="661" spans="1:16" ht="15.75" thickBot="1" x14ac:dyDescent="0.3">
      <c r="A661" s="3"/>
      <c r="B661" s="2"/>
      <c r="C661" s="2"/>
      <c r="D661" s="2"/>
      <c r="E661" s="2"/>
      <c r="F661" s="2"/>
      <c r="G661" s="2"/>
      <c r="H661" s="2"/>
      <c r="I661" s="2"/>
      <c r="J661" s="2"/>
      <c r="P661" s="5"/>
    </row>
    <row r="662" spans="1:16" ht="15.75" thickBot="1" x14ac:dyDescent="0.3">
      <c r="A662" s="3"/>
      <c r="B662" s="2"/>
      <c r="C662" s="2"/>
      <c r="D662" s="2"/>
      <c r="E662" s="2"/>
      <c r="F662" s="2"/>
      <c r="G662" s="2"/>
      <c r="H662" s="2"/>
      <c r="I662" s="2"/>
      <c r="J662" s="2"/>
      <c r="P662" s="5"/>
    </row>
    <row r="663" spans="1:16" ht="15.75" thickBot="1" x14ac:dyDescent="0.3">
      <c r="A663" s="3"/>
      <c r="B663" s="2"/>
      <c r="C663" s="2"/>
      <c r="D663" s="2"/>
      <c r="E663" s="2"/>
      <c r="F663" s="2"/>
      <c r="G663" s="2"/>
      <c r="H663" s="2"/>
      <c r="I663" s="2"/>
      <c r="J663" s="2"/>
      <c r="P663" s="5"/>
    </row>
    <row r="664" spans="1:16" ht="15.75" thickBot="1" x14ac:dyDescent="0.3">
      <c r="A664" s="3"/>
      <c r="B664" s="2"/>
      <c r="C664" s="2"/>
      <c r="D664" s="2"/>
      <c r="E664" s="2"/>
      <c r="F664" s="2"/>
      <c r="G664" s="2"/>
      <c r="H664" s="2"/>
      <c r="I664" s="2"/>
      <c r="J664" s="2"/>
      <c r="P664" s="5"/>
    </row>
    <row r="665" spans="1:16" ht="15.75" thickBot="1" x14ac:dyDescent="0.3">
      <c r="A665" s="3"/>
      <c r="B665" s="2"/>
      <c r="C665" s="2"/>
      <c r="D665" s="2"/>
      <c r="E665" s="2"/>
      <c r="F665" s="2"/>
      <c r="G665" s="2"/>
      <c r="H665" s="2"/>
      <c r="I665" s="2"/>
      <c r="J665" s="2"/>
      <c r="P665" s="5"/>
    </row>
    <row r="666" spans="1:16" ht="15.75" thickBot="1" x14ac:dyDescent="0.3">
      <c r="A666" s="3"/>
      <c r="B666" s="2"/>
      <c r="C666" s="2"/>
      <c r="D666" s="2"/>
      <c r="E666" s="2"/>
      <c r="F666" s="2"/>
      <c r="G666" s="2"/>
      <c r="H666" s="2"/>
      <c r="I666" s="2"/>
      <c r="J666" s="2"/>
      <c r="P666" s="5"/>
    </row>
    <row r="667" spans="1:16" ht="15.75" thickBot="1" x14ac:dyDescent="0.3">
      <c r="A667" s="3"/>
      <c r="B667" s="2"/>
      <c r="C667" s="2"/>
      <c r="D667" s="2"/>
      <c r="E667" s="2"/>
      <c r="F667" s="2"/>
      <c r="G667" s="2"/>
      <c r="H667" s="2"/>
      <c r="I667" s="2"/>
      <c r="J667" s="2"/>
      <c r="P667" s="5"/>
    </row>
    <row r="668" spans="1:16" ht="15.75" thickBot="1" x14ac:dyDescent="0.3">
      <c r="A668" s="3"/>
      <c r="B668" s="2"/>
      <c r="C668" s="2"/>
      <c r="D668" s="2"/>
      <c r="E668" s="2"/>
      <c r="F668" s="2"/>
      <c r="G668" s="2"/>
      <c r="H668" s="2"/>
      <c r="I668" s="2"/>
      <c r="J668" s="2"/>
      <c r="P668" s="5"/>
    </row>
    <row r="669" spans="1:16" ht="15.75" thickBot="1" x14ac:dyDescent="0.3">
      <c r="A669" s="3"/>
      <c r="B669" s="2"/>
      <c r="C669" s="2"/>
      <c r="D669" s="2"/>
      <c r="E669" s="2"/>
      <c r="F669" s="2"/>
      <c r="G669" s="2"/>
      <c r="H669" s="2"/>
      <c r="I669" s="2"/>
      <c r="J669" s="2"/>
      <c r="P669" s="5"/>
    </row>
    <row r="670" spans="1:16" ht="15.75" thickBot="1" x14ac:dyDescent="0.3">
      <c r="A670" s="3"/>
      <c r="B670" s="2"/>
      <c r="C670" s="2"/>
      <c r="D670" s="2"/>
      <c r="E670" s="2"/>
      <c r="F670" s="2"/>
      <c r="G670" s="2"/>
      <c r="H670" s="2"/>
      <c r="I670" s="2"/>
      <c r="J670" s="2"/>
      <c r="P670" s="5"/>
    </row>
    <row r="671" spans="1:16" ht="15.75" thickBot="1" x14ac:dyDescent="0.3">
      <c r="A671" s="3"/>
      <c r="B671" s="2"/>
      <c r="C671" s="2"/>
      <c r="D671" s="2"/>
      <c r="E671" s="2"/>
      <c r="F671" s="2"/>
      <c r="G671" s="2"/>
      <c r="H671" s="2"/>
      <c r="I671" s="2"/>
      <c r="J671" s="2"/>
      <c r="P671" s="5"/>
    </row>
    <row r="672" spans="1:16" ht="15.75" thickBot="1" x14ac:dyDescent="0.3">
      <c r="A672" s="3"/>
      <c r="B672" s="2"/>
      <c r="C672" s="2"/>
      <c r="D672" s="2"/>
      <c r="E672" s="2"/>
      <c r="F672" s="2"/>
      <c r="G672" s="2"/>
      <c r="H672" s="2"/>
      <c r="I672" s="2"/>
      <c r="J672" s="2"/>
      <c r="P672" s="5"/>
    </row>
    <row r="673" spans="1:16" ht="15.75" thickBot="1" x14ac:dyDescent="0.3">
      <c r="A673" s="3"/>
      <c r="B673" s="2"/>
      <c r="C673" s="2"/>
      <c r="D673" s="2"/>
      <c r="E673" s="2"/>
      <c r="F673" s="2"/>
      <c r="G673" s="2"/>
      <c r="H673" s="2"/>
      <c r="I673" s="2"/>
      <c r="J673" s="2"/>
      <c r="P673" s="5"/>
    </row>
    <row r="674" spans="1:16" ht="15.75" thickBot="1" x14ac:dyDescent="0.3">
      <c r="A674" s="3"/>
      <c r="B674" s="2"/>
      <c r="C674" s="2"/>
      <c r="D674" s="2"/>
      <c r="E674" s="2"/>
      <c r="F674" s="2"/>
      <c r="G674" s="2"/>
      <c r="H674" s="2"/>
      <c r="I674" s="2"/>
      <c r="J674" s="2"/>
      <c r="P674" s="5"/>
    </row>
    <row r="675" spans="1:16" ht="15.75" thickBot="1" x14ac:dyDescent="0.3">
      <c r="A675" s="3"/>
      <c r="B675" s="2"/>
      <c r="C675" s="2"/>
      <c r="D675" s="2"/>
      <c r="E675" s="2"/>
      <c r="F675" s="2"/>
      <c r="G675" s="2"/>
      <c r="H675" s="2"/>
      <c r="I675" s="2"/>
      <c r="J675" s="2"/>
      <c r="P675" s="5"/>
    </row>
    <row r="676" spans="1:16" ht="15.75" thickBot="1" x14ac:dyDescent="0.3">
      <c r="A676" s="3"/>
      <c r="B676" s="2"/>
      <c r="C676" s="2"/>
      <c r="D676" s="2"/>
      <c r="E676" s="2"/>
      <c r="F676" s="2"/>
      <c r="G676" s="2"/>
      <c r="H676" s="2"/>
      <c r="I676" s="2"/>
      <c r="J676" s="2"/>
      <c r="P676" s="5"/>
    </row>
    <row r="677" spans="1:16" ht="15.75" thickBot="1" x14ac:dyDescent="0.3">
      <c r="A677" s="3"/>
      <c r="B677" s="2"/>
      <c r="C677" s="2"/>
      <c r="D677" s="2"/>
      <c r="E677" s="2"/>
      <c r="F677" s="2"/>
      <c r="G677" s="2"/>
      <c r="H677" s="2"/>
      <c r="I677" s="2"/>
      <c r="J677" s="2"/>
      <c r="P677" s="5"/>
    </row>
    <row r="678" spans="1:16" ht="15.75" thickBot="1" x14ac:dyDescent="0.3">
      <c r="A678" s="3"/>
      <c r="B678" s="2"/>
      <c r="C678" s="2"/>
      <c r="D678" s="2"/>
      <c r="E678" s="2"/>
      <c r="F678" s="2"/>
      <c r="G678" s="2"/>
      <c r="H678" s="2"/>
      <c r="I678" s="2"/>
      <c r="J678" s="2"/>
      <c r="P678" s="5"/>
    </row>
    <row r="679" spans="1:16" ht="15.75" thickBot="1" x14ac:dyDescent="0.3">
      <c r="A679" s="3"/>
      <c r="B679" s="2"/>
      <c r="C679" s="2"/>
      <c r="D679" s="2"/>
      <c r="E679" s="2"/>
      <c r="F679" s="2"/>
      <c r="G679" s="2"/>
      <c r="H679" s="2"/>
      <c r="I679" s="2"/>
      <c r="J679" s="2"/>
      <c r="P679" s="5"/>
    </row>
    <row r="680" spans="1:16" ht="15.75" thickBot="1" x14ac:dyDescent="0.3">
      <c r="A680" s="3"/>
      <c r="B680" s="2"/>
      <c r="C680" s="2"/>
      <c r="D680" s="2"/>
      <c r="E680" s="2"/>
      <c r="F680" s="2"/>
      <c r="G680" s="2"/>
      <c r="H680" s="2"/>
      <c r="I680" s="2"/>
      <c r="J680" s="2"/>
      <c r="P680" s="5"/>
    </row>
    <row r="681" spans="1:16" ht="15.75" thickBot="1" x14ac:dyDescent="0.3">
      <c r="A681" s="3"/>
      <c r="B681" s="2"/>
      <c r="C681" s="2"/>
      <c r="D681" s="2"/>
      <c r="E681" s="2"/>
      <c r="F681" s="2"/>
      <c r="G681" s="2"/>
      <c r="H681" s="2"/>
      <c r="I681" s="2"/>
      <c r="J681" s="2"/>
      <c r="P681" s="5"/>
    </row>
    <row r="682" spans="1:16" ht="15.75" thickBot="1" x14ac:dyDescent="0.3">
      <c r="A682" s="3"/>
      <c r="B682" s="2"/>
      <c r="C682" s="2"/>
      <c r="D682" s="2"/>
      <c r="E682" s="2"/>
      <c r="F682" s="2"/>
      <c r="G682" s="2"/>
      <c r="H682" s="2"/>
      <c r="I682" s="2"/>
      <c r="J682" s="2"/>
      <c r="P682" s="5"/>
    </row>
    <row r="683" spans="1:16" ht="15.75" thickBot="1" x14ac:dyDescent="0.3">
      <c r="A683" s="3"/>
      <c r="B683" s="2"/>
      <c r="C683" s="2"/>
      <c r="D683" s="2"/>
      <c r="E683" s="2"/>
      <c r="F683" s="2"/>
      <c r="G683" s="2"/>
      <c r="H683" s="2"/>
      <c r="I683" s="2"/>
      <c r="J683" s="2"/>
      <c r="P683" s="5"/>
    </row>
    <row r="684" spans="1:16" ht="15.75" thickBot="1" x14ac:dyDescent="0.3">
      <c r="A684" s="3"/>
      <c r="B684" s="2"/>
      <c r="C684" s="2"/>
      <c r="D684" s="2"/>
      <c r="E684" s="2"/>
      <c r="F684" s="2"/>
      <c r="G684" s="2"/>
      <c r="H684" s="2"/>
      <c r="I684" s="2"/>
      <c r="J684" s="2"/>
      <c r="P684" s="5"/>
    </row>
    <row r="685" spans="1:16" ht="15.75" thickBot="1" x14ac:dyDescent="0.3">
      <c r="A685" s="3"/>
      <c r="B685" s="2"/>
      <c r="C685" s="2"/>
      <c r="D685" s="2"/>
      <c r="E685" s="2"/>
      <c r="F685" s="2"/>
      <c r="G685" s="2"/>
      <c r="H685" s="2"/>
      <c r="I685" s="2"/>
      <c r="J685" s="2"/>
      <c r="P685" s="5"/>
    </row>
    <row r="686" spans="1:16" ht="15.75" thickBot="1" x14ac:dyDescent="0.3">
      <c r="A686" s="3"/>
      <c r="B686" s="2"/>
      <c r="C686" s="2"/>
      <c r="D686" s="2"/>
      <c r="E686" s="2"/>
      <c r="F686" s="2"/>
      <c r="G686" s="2"/>
      <c r="H686" s="2"/>
      <c r="I686" s="2"/>
      <c r="J686" s="2"/>
      <c r="P686" s="5"/>
    </row>
    <row r="687" spans="1:16" ht="15.75" thickBot="1" x14ac:dyDescent="0.3">
      <c r="A687" s="3"/>
      <c r="B687" s="2"/>
      <c r="C687" s="2"/>
      <c r="D687" s="2"/>
      <c r="E687" s="2"/>
      <c r="F687" s="2"/>
      <c r="G687" s="2"/>
      <c r="H687" s="2"/>
      <c r="I687" s="2"/>
      <c r="J687" s="2"/>
      <c r="P687" s="5"/>
    </row>
    <row r="688" spans="1:16" ht="15.75" thickBot="1" x14ac:dyDescent="0.3">
      <c r="A688" s="3"/>
      <c r="B688" s="2"/>
      <c r="C688" s="2"/>
      <c r="D688" s="2"/>
      <c r="E688" s="2"/>
      <c r="F688" s="2"/>
      <c r="G688" s="2"/>
      <c r="H688" s="2"/>
      <c r="I688" s="2"/>
      <c r="J688" s="2"/>
      <c r="P688" s="5"/>
    </row>
    <row r="689" spans="1:16" ht="15.75" thickBot="1" x14ac:dyDescent="0.3">
      <c r="A689" s="3"/>
      <c r="B689" s="2"/>
      <c r="C689" s="2"/>
      <c r="D689" s="2"/>
      <c r="E689" s="2"/>
      <c r="F689" s="2"/>
      <c r="G689" s="2"/>
      <c r="H689" s="2"/>
      <c r="I689" s="2"/>
      <c r="J689" s="2"/>
      <c r="P689" s="5"/>
    </row>
    <row r="690" spans="1:16" ht="15.75" thickBot="1" x14ac:dyDescent="0.3">
      <c r="A690" s="3"/>
      <c r="B690" s="2"/>
      <c r="C690" s="2"/>
      <c r="D690" s="2"/>
      <c r="E690" s="2"/>
      <c r="F690" s="2"/>
      <c r="G690" s="2"/>
      <c r="H690" s="2"/>
      <c r="I690" s="2"/>
      <c r="J690" s="2"/>
      <c r="P690" s="5"/>
    </row>
    <row r="691" spans="1:16" ht="15.75" thickBot="1" x14ac:dyDescent="0.3">
      <c r="A691" s="3"/>
      <c r="B691" s="2"/>
      <c r="C691" s="2"/>
      <c r="D691" s="2"/>
      <c r="E691" s="2"/>
      <c r="F691" s="2"/>
      <c r="G691" s="2"/>
      <c r="H691" s="2"/>
      <c r="I691" s="2"/>
      <c r="J691" s="2"/>
      <c r="P691" s="5"/>
    </row>
    <row r="692" spans="1:16" ht="15.75" thickBot="1" x14ac:dyDescent="0.3">
      <c r="A692" s="3"/>
      <c r="B692" s="2"/>
      <c r="C692" s="2"/>
      <c r="D692" s="2"/>
      <c r="E692" s="2"/>
      <c r="F692" s="2"/>
      <c r="G692" s="2"/>
      <c r="H692" s="2"/>
      <c r="I692" s="2"/>
      <c r="J692" s="2"/>
      <c r="P692" s="5"/>
    </row>
    <row r="693" spans="1:16" ht="15.75" thickBot="1" x14ac:dyDescent="0.3">
      <c r="A693" s="3"/>
      <c r="B693" s="2"/>
      <c r="C693" s="2"/>
      <c r="D693" s="2"/>
      <c r="E693" s="2"/>
      <c r="F693" s="2"/>
      <c r="G693" s="2"/>
      <c r="H693" s="2"/>
      <c r="I693" s="2"/>
      <c r="J693" s="2"/>
      <c r="P693" s="5"/>
    </row>
    <row r="694" spans="1:16" ht="15.75" thickBot="1" x14ac:dyDescent="0.3">
      <c r="A694" s="3"/>
      <c r="B694" s="2"/>
      <c r="C694" s="2"/>
      <c r="D694" s="2"/>
      <c r="E694" s="2"/>
      <c r="F694" s="2"/>
      <c r="G694" s="2"/>
      <c r="H694" s="2"/>
      <c r="I694" s="2"/>
      <c r="J694" s="2"/>
      <c r="P694" s="5"/>
    </row>
    <row r="695" spans="1:16" ht="15.75" thickBot="1" x14ac:dyDescent="0.3">
      <c r="A695" s="3"/>
      <c r="B695" s="2"/>
      <c r="C695" s="2"/>
      <c r="D695" s="2"/>
      <c r="E695" s="2"/>
      <c r="F695" s="2"/>
      <c r="G695" s="2"/>
      <c r="H695" s="2"/>
      <c r="I695" s="2"/>
      <c r="J695" s="2"/>
      <c r="P695" s="5"/>
    </row>
    <row r="696" spans="1:16" ht="15.75" thickBot="1" x14ac:dyDescent="0.3">
      <c r="A696" s="3"/>
      <c r="B696" s="2"/>
      <c r="C696" s="2"/>
      <c r="D696" s="2"/>
      <c r="E696" s="2"/>
      <c r="F696" s="2"/>
      <c r="G696" s="2"/>
      <c r="H696" s="2"/>
      <c r="I696" s="2"/>
      <c r="J696" s="2"/>
      <c r="P696" s="5"/>
    </row>
    <row r="697" spans="1:16" ht="15.75" thickBot="1" x14ac:dyDescent="0.3">
      <c r="A697" s="3"/>
      <c r="B697" s="2"/>
      <c r="C697" s="2"/>
      <c r="D697" s="2"/>
      <c r="E697" s="2"/>
      <c r="F697" s="2"/>
      <c r="G697" s="2"/>
      <c r="H697" s="2"/>
      <c r="I697" s="2"/>
      <c r="J697" s="2"/>
      <c r="P697" s="5"/>
    </row>
    <row r="698" spans="1:16" ht="15.75" thickBot="1" x14ac:dyDescent="0.3">
      <c r="A698" s="3"/>
      <c r="B698" s="2"/>
      <c r="C698" s="2"/>
      <c r="D698" s="2"/>
      <c r="E698" s="2"/>
      <c r="F698" s="2"/>
      <c r="G698" s="2"/>
      <c r="H698" s="2"/>
      <c r="I698" s="2"/>
      <c r="J698" s="2"/>
      <c r="P698" s="5"/>
    </row>
    <row r="699" spans="1:16" ht="15.75" thickBot="1" x14ac:dyDescent="0.3">
      <c r="A699" s="3"/>
      <c r="B699" s="2"/>
      <c r="C699" s="2"/>
      <c r="D699" s="2"/>
      <c r="E699" s="2"/>
      <c r="F699" s="2"/>
      <c r="G699" s="2"/>
      <c r="H699" s="2"/>
      <c r="I699" s="2"/>
      <c r="J699" s="2"/>
      <c r="P699" s="5"/>
    </row>
    <row r="700" spans="1:16" ht="15.75" thickBot="1" x14ac:dyDescent="0.3">
      <c r="A700" s="3"/>
      <c r="B700" s="2"/>
      <c r="C700" s="2"/>
      <c r="D700" s="2"/>
      <c r="E700" s="2"/>
      <c r="F700" s="2"/>
      <c r="G700" s="2"/>
      <c r="H700" s="2"/>
      <c r="I700" s="2"/>
      <c r="J700" s="2"/>
      <c r="P700" s="5"/>
    </row>
    <row r="701" spans="1:16" ht="15.75" thickBot="1" x14ac:dyDescent="0.3">
      <c r="A701" s="3"/>
      <c r="B701" s="2"/>
      <c r="C701" s="2"/>
      <c r="D701" s="2"/>
      <c r="E701" s="2"/>
      <c r="F701" s="2"/>
      <c r="G701" s="2"/>
      <c r="H701" s="2"/>
      <c r="I701" s="2"/>
      <c r="J701" s="2"/>
      <c r="P701" s="5"/>
    </row>
    <row r="702" spans="1:16" ht="15.75" thickBot="1" x14ac:dyDescent="0.3">
      <c r="A702" s="3"/>
      <c r="B702" s="2"/>
      <c r="C702" s="2"/>
      <c r="D702" s="2"/>
      <c r="E702" s="2"/>
      <c r="F702" s="2"/>
      <c r="G702" s="2"/>
      <c r="H702" s="2"/>
      <c r="I702" s="2"/>
      <c r="J702" s="2"/>
      <c r="P702" s="5"/>
    </row>
    <row r="703" spans="1:16" ht="15.75" thickBot="1" x14ac:dyDescent="0.3">
      <c r="A703" s="3"/>
      <c r="B703" s="2"/>
      <c r="C703" s="2"/>
      <c r="D703" s="2"/>
      <c r="E703" s="2"/>
      <c r="F703" s="2"/>
      <c r="G703" s="2"/>
      <c r="H703" s="2"/>
      <c r="I703" s="2"/>
      <c r="J703" s="2"/>
      <c r="P703" s="5"/>
    </row>
    <row r="704" spans="1:16" ht="15.75" thickBot="1" x14ac:dyDescent="0.3">
      <c r="A704" s="3"/>
      <c r="B704" s="2"/>
      <c r="C704" s="2"/>
      <c r="D704" s="2"/>
      <c r="E704" s="2"/>
      <c r="F704" s="2"/>
      <c r="G704" s="2"/>
      <c r="H704" s="2"/>
      <c r="I704" s="2"/>
      <c r="J704" s="2"/>
      <c r="P704" s="5"/>
    </row>
    <row r="705" spans="1:16" ht="15.75" thickBot="1" x14ac:dyDescent="0.3">
      <c r="A705" s="3"/>
      <c r="B705" s="2"/>
      <c r="C705" s="2"/>
      <c r="D705" s="2"/>
      <c r="E705" s="2"/>
      <c r="F705" s="2"/>
      <c r="G705" s="2"/>
      <c r="H705" s="2"/>
      <c r="I705" s="2"/>
      <c r="J705" s="2"/>
      <c r="P705" s="5"/>
    </row>
    <row r="706" spans="1:16" ht="15.75" thickBot="1" x14ac:dyDescent="0.3">
      <c r="A706" s="3"/>
      <c r="B706" s="2"/>
      <c r="C706" s="2"/>
      <c r="D706" s="2"/>
      <c r="E706" s="2"/>
      <c r="F706" s="2"/>
      <c r="G706" s="2"/>
      <c r="H706" s="2"/>
      <c r="I706" s="2"/>
      <c r="J706" s="2"/>
      <c r="P706" s="5"/>
    </row>
    <row r="707" spans="1:16" ht="15.75" thickBot="1" x14ac:dyDescent="0.3">
      <c r="A707" s="3"/>
      <c r="B707" s="2"/>
      <c r="C707" s="2"/>
      <c r="D707" s="2"/>
      <c r="E707" s="2"/>
      <c r="F707" s="2"/>
      <c r="G707" s="2"/>
      <c r="H707" s="2"/>
      <c r="I707" s="2"/>
      <c r="J707" s="2"/>
      <c r="P707" s="5"/>
    </row>
    <row r="708" spans="1:16" ht="15.75" thickBot="1" x14ac:dyDescent="0.3">
      <c r="A708" s="3"/>
      <c r="B708" s="2"/>
      <c r="C708" s="2"/>
      <c r="D708" s="2"/>
      <c r="E708" s="2"/>
      <c r="F708" s="2"/>
      <c r="G708" s="2"/>
      <c r="H708" s="2"/>
      <c r="I708" s="2"/>
      <c r="J708" s="2"/>
      <c r="P708" s="5"/>
    </row>
    <row r="709" spans="1:16" ht="15.75" thickBot="1" x14ac:dyDescent="0.3">
      <c r="A709" s="3"/>
      <c r="B709" s="2"/>
      <c r="C709" s="2"/>
      <c r="D709" s="2"/>
      <c r="E709" s="2"/>
      <c r="F709" s="2"/>
      <c r="G709" s="2"/>
      <c r="H709" s="2"/>
      <c r="I709" s="2"/>
      <c r="J709" s="2"/>
      <c r="P709" s="5"/>
    </row>
    <row r="710" spans="1:16" ht="15.75" thickBot="1" x14ac:dyDescent="0.3">
      <c r="A710" s="3"/>
      <c r="B710" s="2"/>
      <c r="C710" s="2"/>
      <c r="D710" s="2"/>
      <c r="E710" s="2"/>
      <c r="F710" s="2"/>
      <c r="G710" s="2"/>
      <c r="H710" s="2"/>
      <c r="I710" s="2"/>
      <c r="J710" s="2"/>
      <c r="P710" s="5"/>
    </row>
    <row r="711" spans="1:16" ht="15.75" thickBot="1" x14ac:dyDescent="0.3">
      <c r="A711" s="3"/>
      <c r="B711" s="2"/>
      <c r="C711" s="2"/>
      <c r="D711" s="2"/>
      <c r="E711" s="2"/>
      <c r="F711" s="2"/>
      <c r="G711" s="2"/>
      <c r="H711" s="2"/>
      <c r="I711" s="2"/>
      <c r="J711" s="2"/>
      <c r="P711" s="5"/>
    </row>
    <row r="712" spans="1:16" ht="15.75" thickBot="1" x14ac:dyDescent="0.3">
      <c r="A712" s="3"/>
      <c r="B712" s="2"/>
      <c r="C712" s="2"/>
      <c r="D712" s="2"/>
      <c r="E712" s="2"/>
      <c r="F712" s="2"/>
      <c r="G712" s="2"/>
      <c r="H712" s="2"/>
      <c r="I712" s="2"/>
      <c r="J712" s="2"/>
      <c r="P712" s="5"/>
    </row>
    <row r="713" spans="1:16" ht="15.75" thickBot="1" x14ac:dyDescent="0.3">
      <c r="A713" s="3"/>
      <c r="B713" s="2"/>
      <c r="C713" s="2"/>
      <c r="D713" s="2"/>
      <c r="E713" s="2"/>
      <c r="F713" s="2"/>
      <c r="G713" s="2"/>
      <c r="H713" s="2"/>
      <c r="I713" s="2"/>
      <c r="J713" s="2"/>
      <c r="P713" s="5"/>
    </row>
    <row r="714" spans="1:16" ht="15.75" thickBot="1" x14ac:dyDescent="0.3">
      <c r="A714" s="3"/>
      <c r="B714" s="2"/>
      <c r="C714" s="2"/>
      <c r="D714" s="2"/>
      <c r="E714" s="2"/>
      <c r="F714" s="2"/>
      <c r="G714" s="2"/>
      <c r="H714" s="2"/>
      <c r="I714" s="2"/>
      <c r="J714" s="2"/>
      <c r="P714" s="5"/>
    </row>
    <row r="715" spans="1:16" ht="15.75" thickBot="1" x14ac:dyDescent="0.3">
      <c r="A715" s="3"/>
      <c r="B715" s="2"/>
      <c r="C715" s="2"/>
      <c r="D715" s="2"/>
      <c r="E715" s="2"/>
      <c r="F715" s="2"/>
      <c r="G715" s="2"/>
      <c r="H715" s="2"/>
      <c r="I715" s="2"/>
      <c r="J715" s="2"/>
      <c r="P715" s="5"/>
    </row>
    <row r="716" spans="1:16" ht="15.75" thickBot="1" x14ac:dyDescent="0.3">
      <c r="A716" s="3"/>
      <c r="B716" s="2"/>
      <c r="C716" s="2"/>
      <c r="D716" s="2"/>
      <c r="E716" s="2"/>
      <c r="F716" s="2"/>
      <c r="G716" s="2"/>
      <c r="H716" s="2"/>
      <c r="I716" s="2"/>
      <c r="J716" s="2"/>
      <c r="P716" s="5"/>
    </row>
    <row r="717" spans="1:16" ht="15.75" thickBot="1" x14ac:dyDescent="0.3">
      <c r="A717" s="3"/>
      <c r="B717" s="2"/>
      <c r="C717" s="2"/>
      <c r="D717" s="2"/>
      <c r="E717" s="2"/>
      <c r="F717" s="2"/>
      <c r="G717" s="2"/>
      <c r="H717" s="2"/>
      <c r="I717" s="2"/>
      <c r="J717" s="2"/>
      <c r="P717" s="5"/>
    </row>
    <row r="718" spans="1:16" ht="15.75" thickBot="1" x14ac:dyDescent="0.3">
      <c r="A718" s="3"/>
      <c r="B718" s="2"/>
      <c r="C718" s="2"/>
      <c r="D718" s="2"/>
      <c r="E718" s="2"/>
      <c r="F718" s="2"/>
      <c r="G718" s="2"/>
      <c r="H718" s="2"/>
      <c r="I718" s="2"/>
      <c r="J718" s="2"/>
      <c r="P718" s="5"/>
    </row>
    <row r="719" spans="1:16" ht="15.75" thickBot="1" x14ac:dyDescent="0.3">
      <c r="A719" s="3"/>
      <c r="B719" s="2"/>
      <c r="C719" s="2"/>
      <c r="D719" s="2"/>
      <c r="E719" s="2"/>
      <c r="F719" s="2"/>
      <c r="G719" s="2"/>
      <c r="H719" s="2"/>
      <c r="I719" s="2"/>
      <c r="J719" s="2"/>
      <c r="P719" s="5"/>
    </row>
    <row r="720" spans="1:16" ht="15.75" thickBot="1" x14ac:dyDescent="0.3">
      <c r="A720" s="3"/>
      <c r="B720" s="2"/>
      <c r="C720" s="2"/>
      <c r="D720" s="2"/>
      <c r="E720" s="2"/>
      <c r="F720" s="2"/>
      <c r="G720" s="2"/>
      <c r="H720" s="2"/>
      <c r="I720" s="2"/>
      <c r="J720" s="2"/>
      <c r="P720" s="5"/>
    </row>
    <row r="721" spans="1:16" ht="15.75" thickBot="1" x14ac:dyDescent="0.3">
      <c r="A721" s="3"/>
      <c r="B721" s="2"/>
      <c r="C721" s="2"/>
      <c r="D721" s="2"/>
      <c r="E721" s="2"/>
      <c r="F721" s="2"/>
      <c r="G721" s="2"/>
      <c r="H721" s="2"/>
      <c r="I721" s="2"/>
      <c r="J721" s="2"/>
      <c r="P721" s="5"/>
    </row>
    <row r="722" spans="1:16" ht="15.75" thickBot="1" x14ac:dyDescent="0.3">
      <c r="A722" s="3"/>
      <c r="B722" s="2"/>
      <c r="C722" s="2"/>
      <c r="D722" s="2"/>
      <c r="E722" s="2"/>
      <c r="F722" s="2"/>
      <c r="G722" s="2"/>
      <c r="H722" s="2"/>
      <c r="I722" s="2"/>
      <c r="J722" s="2"/>
      <c r="P722" s="5"/>
    </row>
    <row r="723" spans="1:16" ht="15.75" thickBot="1" x14ac:dyDescent="0.3">
      <c r="A723" s="3"/>
      <c r="B723" s="2"/>
      <c r="C723" s="2"/>
      <c r="D723" s="2"/>
      <c r="E723" s="2"/>
      <c r="F723" s="2"/>
      <c r="G723" s="2"/>
      <c r="H723" s="2"/>
      <c r="I723" s="2"/>
      <c r="J723" s="2"/>
      <c r="P723" s="5"/>
    </row>
    <row r="724" spans="1:16" ht="15.75" thickBot="1" x14ac:dyDescent="0.3">
      <c r="A724" s="3"/>
      <c r="B724" s="2"/>
      <c r="C724" s="2"/>
      <c r="D724" s="2"/>
      <c r="E724" s="2"/>
      <c r="F724" s="2"/>
      <c r="G724" s="2"/>
      <c r="H724" s="2"/>
      <c r="I724" s="2"/>
      <c r="J724" s="2"/>
      <c r="P724" s="5"/>
    </row>
    <row r="725" spans="1:16" ht="15.75" thickBot="1" x14ac:dyDescent="0.3">
      <c r="A725" s="3"/>
      <c r="B725" s="2"/>
      <c r="C725" s="2"/>
      <c r="D725" s="2"/>
      <c r="E725" s="2"/>
      <c r="F725" s="2"/>
      <c r="G725" s="2"/>
      <c r="H725" s="2"/>
      <c r="I725" s="2"/>
      <c r="J725" s="2"/>
      <c r="P725" s="5"/>
    </row>
    <row r="726" spans="1:16" ht="15.75" thickBot="1" x14ac:dyDescent="0.3">
      <c r="A726" s="3"/>
      <c r="B726" s="2"/>
      <c r="C726" s="2"/>
      <c r="D726" s="2"/>
      <c r="E726" s="2"/>
      <c r="F726" s="2"/>
      <c r="G726" s="2"/>
      <c r="H726" s="2"/>
      <c r="I726" s="2"/>
      <c r="J726" s="2"/>
      <c r="P726" s="5"/>
    </row>
    <row r="727" spans="1:16" ht="15.75" thickBot="1" x14ac:dyDescent="0.3">
      <c r="A727" s="3"/>
      <c r="B727" s="2"/>
      <c r="C727" s="2"/>
      <c r="D727" s="2"/>
      <c r="E727" s="2"/>
      <c r="F727" s="2"/>
      <c r="G727" s="2"/>
      <c r="H727" s="2"/>
      <c r="I727" s="2"/>
      <c r="J727" s="2"/>
      <c r="P727" s="5"/>
    </row>
    <row r="728" spans="1:16" ht="15.75" thickBot="1" x14ac:dyDescent="0.3">
      <c r="A728" s="3"/>
      <c r="B728" s="2"/>
      <c r="C728" s="2"/>
      <c r="D728" s="2"/>
      <c r="E728" s="2"/>
      <c r="F728" s="2"/>
      <c r="G728" s="2"/>
      <c r="H728" s="2"/>
      <c r="I728" s="2"/>
      <c r="J728" s="2"/>
      <c r="P728" s="5"/>
    </row>
    <row r="729" spans="1:16" ht="15.75" thickBot="1" x14ac:dyDescent="0.3">
      <c r="A729" s="3"/>
      <c r="B729" s="2"/>
      <c r="C729" s="2"/>
      <c r="D729" s="2"/>
      <c r="E729" s="2"/>
      <c r="F729" s="2"/>
      <c r="G729" s="2"/>
      <c r="H729" s="2"/>
      <c r="I729" s="2"/>
      <c r="J729" s="2"/>
      <c r="P729" s="5"/>
    </row>
    <row r="730" spans="1:16" ht="15.75" thickBot="1" x14ac:dyDescent="0.3">
      <c r="A730" s="3"/>
      <c r="B730" s="2"/>
      <c r="C730" s="2"/>
      <c r="D730" s="2"/>
      <c r="E730" s="2"/>
      <c r="F730" s="2"/>
      <c r="G730" s="2"/>
      <c r="H730" s="2"/>
      <c r="I730" s="2"/>
      <c r="J730" s="2"/>
      <c r="P730" s="5"/>
    </row>
    <row r="731" spans="1:16" ht="15.75" thickBot="1" x14ac:dyDescent="0.3">
      <c r="A731" s="3"/>
      <c r="B731" s="2"/>
      <c r="C731" s="2"/>
      <c r="D731" s="2"/>
      <c r="E731" s="2"/>
      <c r="F731" s="2"/>
      <c r="G731" s="2"/>
      <c r="H731" s="2"/>
      <c r="I731" s="2"/>
      <c r="J731" s="2"/>
      <c r="P731" s="5"/>
    </row>
    <row r="732" spans="1:16" ht="15.75" thickBot="1" x14ac:dyDescent="0.3">
      <c r="A732" s="3"/>
      <c r="B732" s="2"/>
      <c r="C732" s="2"/>
      <c r="D732" s="2"/>
      <c r="E732" s="2"/>
      <c r="F732" s="2"/>
      <c r="G732" s="2"/>
      <c r="H732" s="2"/>
      <c r="I732" s="2"/>
      <c r="J732" s="2"/>
      <c r="P732" s="5"/>
    </row>
    <row r="733" spans="1:16" ht="15.75" thickBot="1" x14ac:dyDescent="0.3">
      <c r="A733" s="3"/>
      <c r="B733" s="2"/>
      <c r="C733" s="2"/>
      <c r="D733" s="2"/>
      <c r="E733" s="2"/>
      <c r="F733" s="2"/>
      <c r="G733" s="2"/>
      <c r="H733" s="2"/>
      <c r="I733" s="2"/>
      <c r="J733" s="2"/>
      <c r="P733" s="5"/>
    </row>
    <row r="734" spans="1:16" ht="15.75" thickBot="1" x14ac:dyDescent="0.3">
      <c r="A734" s="3"/>
      <c r="B734" s="2"/>
      <c r="C734" s="2"/>
      <c r="D734" s="2"/>
      <c r="E734" s="2"/>
      <c r="F734" s="2"/>
      <c r="G734" s="2"/>
      <c r="H734" s="2"/>
      <c r="I734" s="2"/>
      <c r="J734" s="2"/>
      <c r="P734" s="5"/>
    </row>
    <row r="735" spans="1:16" ht="15.75" thickBot="1" x14ac:dyDescent="0.3">
      <c r="A735" s="3"/>
      <c r="B735" s="2"/>
      <c r="C735" s="2"/>
      <c r="D735" s="2"/>
      <c r="E735" s="2"/>
      <c r="F735" s="2"/>
      <c r="G735" s="2"/>
      <c r="H735" s="2"/>
      <c r="I735" s="2"/>
      <c r="J735" s="2"/>
      <c r="P735" s="5"/>
    </row>
    <row r="736" spans="1:16" ht="15.75" thickBot="1" x14ac:dyDescent="0.3">
      <c r="A736" s="3"/>
      <c r="B736" s="2"/>
      <c r="C736" s="2"/>
      <c r="D736" s="2"/>
      <c r="E736" s="2"/>
      <c r="F736" s="2"/>
      <c r="G736" s="2"/>
      <c r="H736" s="2"/>
      <c r="I736" s="2"/>
      <c r="J736" s="2"/>
      <c r="P736" s="5"/>
    </row>
    <row r="737" spans="1:16" ht="15.75" thickBot="1" x14ac:dyDescent="0.3">
      <c r="A737" s="3"/>
      <c r="B737" s="2"/>
      <c r="C737" s="2"/>
      <c r="D737" s="2"/>
      <c r="E737" s="2"/>
      <c r="F737" s="2"/>
      <c r="G737" s="2"/>
      <c r="H737" s="2"/>
      <c r="I737" s="2"/>
      <c r="J737" s="2"/>
      <c r="P737" s="5"/>
    </row>
    <row r="738" spans="1:16" ht="15.75" thickBot="1" x14ac:dyDescent="0.3">
      <c r="A738" s="3"/>
      <c r="B738" s="2"/>
      <c r="C738" s="2"/>
      <c r="D738" s="2"/>
      <c r="E738" s="2"/>
      <c r="F738" s="2"/>
      <c r="G738" s="2"/>
      <c r="H738" s="2"/>
      <c r="I738" s="2"/>
      <c r="J738" s="2"/>
      <c r="P738" s="5"/>
    </row>
    <row r="739" spans="1:16" ht="15.75" thickBot="1" x14ac:dyDescent="0.3">
      <c r="A739" s="3"/>
      <c r="B739" s="2"/>
      <c r="C739" s="2"/>
      <c r="D739" s="2"/>
      <c r="E739" s="2"/>
      <c r="F739" s="2"/>
      <c r="G739" s="2"/>
      <c r="H739" s="2"/>
      <c r="I739" s="2"/>
      <c r="J739" s="2"/>
      <c r="P739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Coppe | WE</dc:creator>
  <cp:lastModifiedBy>Vitor Coppe | WE</cp:lastModifiedBy>
  <dcterms:created xsi:type="dcterms:W3CDTF">2026-04-16T12:57:04Z</dcterms:created>
  <dcterms:modified xsi:type="dcterms:W3CDTF">2026-04-16T17:31:38Z</dcterms:modified>
</cp:coreProperties>
</file>